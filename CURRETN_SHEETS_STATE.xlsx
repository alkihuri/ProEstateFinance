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Units" sheetId="2" r:id="rId6"/>
    <sheet state="visible" name="Clients" sheetId="3" r:id="rId7"/>
    <sheet state="visible" name="Sales" sheetId="4" r:id="rId8"/>
    <sheet state="visible" name="Payment Allocations" sheetId="5" r:id="rId9"/>
    <sheet state="visible" name="Client Payments" sheetId="6" r:id="rId10"/>
    <sheet state="visible" name="Budget" sheetId="7" r:id="rId11"/>
    <sheet state="visible" name="Contractors" sheetId="8" r:id="rId12"/>
    <sheet state="visible" name="Contracts" sheetId="9" r:id="rId13"/>
    <sheet state="visible" name="Expenses" sheetId="10" r:id="rId14"/>
    <sheet state="visible" name="Receivables" sheetId="11" r:id="rId15"/>
    <sheet state="visible" name="Bank Accounts" sheetId="12" r:id="rId16"/>
    <sheet state="visible" name="Cash Flow" sheetId="13" r:id="rId17"/>
    <sheet state="visible" name="VAT" sheetId="14" r:id="rId18"/>
    <sheet state="visible" name="Dashboard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tc={88473bd9-e736-4d19-80b5-6d083cdbda09}</author>
  </authors>
  <commentList>
    <comment authorId="0" xr:uid="{88473bd9-e736-4d19-80b5-6d083cdbda09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просто верификация расчетов
</t>
      </text>
    </comment>
  </commentList>
</comments>
</file>

<file path=xl/sharedStrings.xml><?xml version="1.0" encoding="utf-8"?>
<sst xmlns="http://schemas.openxmlformats.org/spreadsheetml/2006/main" count="678" uniqueCount="332">
  <si>
    <t>Project ID</t>
  </si>
  <si>
    <t>Project Name</t>
  </si>
  <si>
    <t>Status</t>
  </si>
  <si>
    <t>Start Date</t>
  </si>
  <si>
    <t>End Date</t>
  </si>
  <si>
    <t>Planned Budget</t>
  </si>
  <si>
    <t>Planned Revenue</t>
  </si>
  <si>
    <t>Sellable Area</t>
  </si>
  <si>
    <t>Units Count</t>
  </si>
  <si>
    <t/>
  </si>
  <si>
    <t>P001</t>
  </si>
  <si>
    <t>Budva Residence</t>
  </si>
  <si>
    <t>Pause</t>
  </si>
  <si>
    <t>P002</t>
  </si>
  <si>
    <t>Bar Residence</t>
  </si>
  <si>
    <t>Construction</t>
  </si>
  <si>
    <t>P003</t>
  </si>
  <si>
    <t>Ulcin Residence</t>
  </si>
  <si>
    <t>Unit ID</t>
  </si>
  <si>
    <t>Type</t>
  </si>
  <si>
    <t>Number</t>
  </si>
  <si>
    <t>Floor</t>
  </si>
  <si>
    <t>Area</t>
  </si>
  <si>
    <t>U001</t>
  </si>
  <si>
    <t>Apartment</t>
  </si>
  <si>
    <t>A-12</t>
  </si>
  <si>
    <t>Available</t>
  </si>
  <si>
    <t>U002</t>
  </si>
  <si>
    <t>Pakinkg</t>
  </si>
  <si>
    <t>A-13</t>
  </si>
  <si>
    <t>Reserved</t>
  </si>
  <si>
    <t>U003</t>
  </si>
  <si>
    <t>A-14</t>
  </si>
  <si>
    <t>Sold</t>
  </si>
  <si>
    <t>U004</t>
  </si>
  <si>
    <t>A-15</t>
  </si>
  <si>
    <t>U005</t>
  </si>
  <si>
    <t>A-16</t>
  </si>
  <si>
    <t>U006</t>
  </si>
  <si>
    <t>A-17</t>
  </si>
  <si>
    <t>U007</t>
  </si>
  <si>
    <t>Commercial</t>
  </si>
  <si>
    <t>A-18</t>
  </si>
  <si>
    <t>U008</t>
  </si>
  <si>
    <t>A-19</t>
  </si>
  <si>
    <t>U009</t>
  </si>
  <si>
    <t>A-20</t>
  </si>
  <si>
    <t>U010</t>
  </si>
  <si>
    <t>A-21</t>
  </si>
  <si>
    <t>U011</t>
  </si>
  <si>
    <t>A-22</t>
  </si>
  <si>
    <t>U012</t>
  </si>
  <si>
    <t>A-23</t>
  </si>
  <si>
    <t>U013</t>
  </si>
  <si>
    <t>A-24</t>
  </si>
  <si>
    <t>U014</t>
  </si>
  <si>
    <t>A-25</t>
  </si>
  <si>
    <t>U015</t>
  </si>
  <si>
    <t>A-26</t>
  </si>
  <si>
    <t>U016</t>
  </si>
  <si>
    <t>A-27</t>
  </si>
  <si>
    <t>U017</t>
  </si>
  <si>
    <t>A-28</t>
  </si>
  <si>
    <t>U018</t>
  </si>
  <si>
    <t>A-29</t>
  </si>
  <si>
    <t>Client ID</t>
  </si>
  <si>
    <t>Name</t>
  </si>
  <si>
    <t>Phone</t>
  </si>
  <si>
    <t>Email</t>
  </si>
  <si>
    <t>Notes</t>
  </si>
  <si>
    <t>C001</t>
  </si>
  <si>
    <t>Agne Durakovic</t>
  </si>
  <si>
    <t>+382...</t>
  </si>
  <si>
    <t>email@mail.com</t>
  </si>
  <si>
    <t>C002</t>
  </si>
  <si>
    <t>Alexabder Sagalovic</t>
  </si>
  <si>
    <t>C003</t>
  </si>
  <si>
    <t>Alexander Sagalovich</t>
  </si>
  <si>
    <t>C004</t>
  </si>
  <si>
    <t>Amar I Mersudin Prentic</t>
  </si>
  <si>
    <t>C005</t>
  </si>
  <si>
    <t>Amir Bajramovic</t>
  </si>
  <si>
    <t>C006</t>
  </si>
  <si>
    <t>Anastazija Glavicic</t>
  </si>
  <si>
    <t>C007</t>
  </si>
  <si>
    <t>Avdulah Destanovic</t>
  </si>
  <si>
    <t>C008</t>
  </si>
  <si>
    <t>Balic Esad</t>
  </si>
  <si>
    <t>C009</t>
  </si>
  <si>
    <t>Biljana Djikanovic Milic</t>
  </si>
  <si>
    <t>C010</t>
  </si>
  <si>
    <t>Bogavac Aleksandra</t>
  </si>
  <si>
    <t>C011</t>
  </si>
  <si>
    <t>Bojadžić Sead</t>
  </si>
  <si>
    <t>C012</t>
  </si>
  <si>
    <t>Branimir Lakicevic</t>
  </si>
  <si>
    <t>C013</t>
  </si>
  <si>
    <t>Bulatović Goran</t>
  </si>
  <si>
    <t>C014</t>
  </si>
  <si>
    <t>Bulatovic Sinisa</t>
  </si>
  <si>
    <t>Sale ID</t>
  </si>
  <si>
    <t>Price</t>
  </si>
  <si>
    <t>Price m2</t>
  </si>
  <si>
    <t>Reserve Date</t>
  </si>
  <si>
    <t>Contract Date</t>
  </si>
  <si>
    <t>Trello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</si>
  <si>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</si>
  <si>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</si>
  <si>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</si>
  <si>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</si>
  <si>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</si>
  <si>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</si>
  <si>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</si>
  <si>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</si>
  <si>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S001</t>
  </si>
  <si>
    <t>Signed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</si>
  <si>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</si>
  <si>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</si>
  <si>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</si>
  <si>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</si>
  <si>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</si>
  <si>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</si>
  <si>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</si>
  <si>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</si>
  <si>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</si>
  <si>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</si>
  <si>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</si>
  <si>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</si>
  <si>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</si>
  <si>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</si>
  <si>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</si>
  <si>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</si>
  <si>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</si>
  <si>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</si>
  <si>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Payment ID</t>
  </si>
  <si>
    <t>Client</t>
  </si>
  <si>
    <t>Allocated</t>
  </si>
  <si>
    <t>Date</t>
  </si>
  <si>
    <t>P005</t>
  </si>
  <si>
    <t>P007</t>
  </si>
  <si>
    <t>P012</t>
  </si>
  <si>
    <t>Unit</t>
  </si>
  <si>
    <t>Payment Info</t>
  </si>
  <si>
    <t>Amount</t>
  </si>
  <si>
    <t>Method</t>
  </si>
  <si>
    <t>Reference</t>
  </si>
  <si>
    <t xml:space="preserve">Confirmed </t>
  </si>
  <si>
    <t>Bank</t>
  </si>
  <si>
    <t>Yes</t>
  </si>
  <si>
    <t>P004</t>
  </si>
  <si>
    <t>payment example</t>
  </si>
  <si>
    <t>P006</t>
  </si>
  <si>
    <t>P008</t>
  </si>
  <si>
    <t>P009</t>
  </si>
  <si>
    <t>P010</t>
  </si>
  <si>
    <t>P011</t>
  </si>
  <si>
    <t>P013</t>
  </si>
  <si>
    <t>P014</t>
  </si>
  <si>
    <t>P015</t>
  </si>
  <si>
    <t>Budget ID</t>
  </si>
  <si>
    <t>Project</t>
  </si>
  <si>
    <t>Category</t>
  </si>
  <si>
    <t>Qty</t>
  </si>
  <si>
    <t>Total (Estimated)</t>
  </si>
  <si>
    <t>Total (Real)</t>
  </si>
  <si>
    <t>Difference</t>
  </si>
  <si>
    <t>B001</t>
  </si>
  <si>
    <t>I PRIPREMNI RADOVI</t>
  </si>
  <si>
    <t>m3</t>
  </si>
  <si>
    <t>B002</t>
  </si>
  <si>
    <t>II ZEMLJANI RADOVI</t>
  </si>
  <si>
    <t>B003</t>
  </si>
  <si>
    <t>III BETONSKI I ARM. BETONSKI RADOVI</t>
  </si>
  <si>
    <t>B004</t>
  </si>
  <si>
    <t>IV ARMIRAČKI RADOVI</t>
  </si>
  <si>
    <t>ESTIMATED</t>
  </si>
  <si>
    <t>REAL</t>
  </si>
  <si>
    <t>BALANCE</t>
  </si>
  <si>
    <t>B005</t>
  </si>
  <si>
    <t>V ČELIČNI RADOVI</t>
  </si>
  <si>
    <t>B006</t>
  </si>
  <si>
    <t>VI ZIDARSKI RADOVI</t>
  </si>
  <si>
    <t>B007</t>
  </si>
  <si>
    <t>VII IZOLATERSKI RADOVI</t>
  </si>
  <si>
    <t>B008</t>
  </si>
  <si>
    <t>VIII FASADNA BRAVARIJA</t>
  </si>
  <si>
    <t>B009</t>
  </si>
  <si>
    <t>IX BRAVARSKI RADOVI</t>
  </si>
  <si>
    <t>B010</t>
  </si>
  <si>
    <t>X STOLARSKI RADOVI</t>
  </si>
  <si>
    <t>B011</t>
  </si>
  <si>
    <t>XI LIMARSKI RADOVI</t>
  </si>
  <si>
    <t>B012</t>
  </si>
  <si>
    <t>XII PODOPOLAGAČKI RADOVI</t>
  </si>
  <si>
    <t>B013</t>
  </si>
  <si>
    <t>XIII KERAMIČARSKI RADOVI</t>
  </si>
  <si>
    <t>B014</t>
  </si>
  <si>
    <t>XIV KAMENOPOLAGAČKI RADOVI</t>
  </si>
  <si>
    <t>B015</t>
  </si>
  <si>
    <t>XV FASADERSKI RADOVI</t>
  </si>
  <si>
    <t>B016</t>
  </si>
  <si>
    <t xml:space="preserve">XVI SUVOMONTAŽNI RADOVI				</t>
  </si>
  <si>
    <t>B017</t>
  </si>
  <si>
    <t xml:space="preserve">XVII MOLERSKO-FARBARSKI RADOVI				</t>
  </si>
  <si>
    <t>B018</t>
  </si>
  <si>
    <t>XVIII LIFTOVSKA POSTROJENJA</t>
  </si>
  <si>
    <t>B019</t>
  </si>
  <si>
    <t>XIX RAZNI ZANATSKI RADOVI</t>
  </si>
  <si>
    <t>B020</t>
  </si>
  <si>
    <t>XX ZAVRŠNI RADOVI</t>
  </si>
  <si>
    <t>B021</t>
  </si>
  <si>
    <t>XXI KLIMATIZACIJA I VENTILACIJA</t>
  </si>
  <si>
    <t>B022</t>
  </si>
  <si>
    <t xml:space="preserve">XXII JAKA STRUJA </t>
  </si>
  <si>
    <t>B023</t>
  </si>
  <si>
    <t>XXIII JAKA STRUJA GARAZA</t>
  </si>
  <si>
    <t>B024</t>
  </si>
  <si>
    <t>XXIV VIO</t>
  </si>
  <si>
    <t>B025</t>
  </si>
  <si>
    <t>XXV SPRINKLER</t>
  </si>
  <si>
    <t>B026</t>
  </si>
  <si>
    <t>XXVI SAOBRACAJ</t>
  </si>
  <si>
    <t>B027</t>
  </si>
  <si>
    <t>XXVII SIGNALIZACIJA</t>
  </si>
  <si>
    <t>B028</t>
  </si>
  <si>
    <t>XXVIII SLABA STRUJA</t>
  </si>
  <si>
    <t>B029</t>
  </si>
  <si>
    <t>XXIX VODOVOD I KANALIZACIJA</t>
  </si>
  <si>
    <t>Contractor ID</t>
  </si>
  <si>
    <t xml:space="preserve">Notes </t>
  </si>
  <si>
    <t>CTR1</t>
  </si>
  <si>
    <t>Дима</t>
  </si>
  <si>
    <t>some@gmail.com</t>
  </si>
  <si>
    <t>CTR2</t>
  </si>
  <si>
    <t>Слава</t>
  </si>
  <si>
    <t>CTR3</t>
  </si>
  <si>
    <t>Мага</t>
  </si>
  <si>
    <t>Contract ID</t>
  </si>
  <si>
    <t>Contractor Name</t>
  </si>
  <si>
    <t>Contract Name</t>
  </si>
  <si>
    <t xml:space="preserve">Contract Amount
</t>
  </si>
  <si>
    <t>Paid</t>
  </si>
  <si>
    <t>Remaining</t>
  </si>
  <si>
    <t xml:space="preserve">% Complete </t>
  </si>
  <si>
    <t xml:space="preserve"> Status</t>
  </si>
  <si>
    <t>D1</t>
  </si>
  <si>
    <t>Rough works</t>
  </si>
  <si>
    <t>Completed</t>
  </si>
  <si>
    <t>D2</t>
  </si>
  <si>
    <t>Electrics</t>
  </si>
  <si>
    <t>Active</t>
  </si>
  <si>
    <t>D3</t>
  </si>
  <si>
    <t>Facade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</si>
  <si>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</si>
  <si>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</si>
  <si>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</si>
  <si>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</si>
  <si>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</si>
  <si>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</si>
  <si>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</si>
  <si>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</si>
  <si>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</si>
  <si>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</si>
  <si>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</si>
  <si>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</si>
  <si>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Expense ID</t>
  </si>
  <si>
    <t>Contractor</t>
  </si>
  <si>
    <t>Contract</t>
  </si>
  <si>
    <t xml:space="preserve">Payment Date </t>
  </si>
  <si>
    <t>Verification</t>
  </si>
  <si>
    <t>EX1</t>
  </si>
  <si>
    <t>Verified</t>
  </si>
  <si>
    <t>EX2</t>
  </si>
  <si>
    <t>EX3</t>
  </si>
  <si>
    <t>EX4</t>
  </si>
  <si>
    <t>EX5</t>
  </si>
  <si>
    <t>EX6</t>
  </si>
  <si>
    <t>Sale</t>
  </si>
  <si>
    <t>Outstanding</t>
  </si>
  <si>
    <t>Unpaid</t>
  </si>
  <si>
    <t>Account ID</t>
  </si>
  <si>
    <t>Currency</t>
  </si>
  <si>
    <t>Balance</t>
  </si>
  <si>
    <t xml:space="preserve">Updated </t>
  </si>
  <si>
    <t>ACC001</t>
  </si>
  <si>
    <t>Main Account</t>
  </si>
  <si>
    <t>CKB</t>
  </si>
  <si>
    <t>EUR</t>
  </si>
  <si>
    <t xml:space="preserve">01.04.2026 </t>
  </si>
  <si>
    <t>Month</t>
  </si>
  <si>
    <t>Opening</t>
  </si>
  <si>
    <t>Income</t>
  </si>
  <si>
    <t>Expense</t>
  </si>
  <si>
    <t>Net</t>
  </si>
  <si>
    <t>Closing</t>
  </si>
  <si>
    <t>Verifying</t>
  </si>
  <si>
    <t>Incoming VAT</t>
  </si>
  <si>
    <t>Outgoing VAT</t>
  </si>
  <si>
    <t>VAT Payable</t>
  </si>
  <si>
    <t>Cumulative VAT</t>
  </si>
  <si>
    <t>Payable</t>
  </si>
  <si>
    <t>Refund</t>
  </si>
  <si>
    <t>PROJECT OVERVIEW</t>
  </si>
  <si>
    <t>Total Projects</t>
  </si>
  <si>
    <t>Active Projects</t>
  </si>
  <si>
    <t>Completed Projects</t>
  </si>
  <si>
    <t>SALES &amp; CLIENTS</t>
  </si>
  <si>
    <t>Total Sales Value</t>
  </si>
  <si>
    <t>Received from Clients</t>
  </si>
  <si>
    <t>Sales → сколько продали (Revenue)</t>
  </si>
  <si>
    <t>EXPENSES &amp; CONTRACTS</t>
  </si>
  <si>
    <t>Payments → сколько получили (Cash)</t>
  </si>
  <si>
    <t>Total Budget</t>
  </si>
  <si>
    <t>Expenses → сколько потратили</t>
  </si>
  <si>
    <t>Contracted Amount</t>
  </si>
  <si>
    <t>Bank → сколько денег сейчас</t>
  </si>
  <si>
    <t>Paid to Contractors</t>
  </si>
  <si>
    <t>Remaining Budget</t>
  </si>
  <si>
    <t>CASH POSITION</t>
  </si>
  <si>
    <t>Total Cash</t>
  </si>
  <si>
    <t>Receivables</t>
  </si>
  <si>
    <t>Payables</t>
  </si>
  <si>
    <t>Net Cash</t>
  </si>
  <si>
    <t>PROFITABILITY</t>
  </si>
  <si>
    <t>Revenue</t>
  </si>
  <si>
    <t>Expenses</t>
  </si>
  <si>
    <t>Profit</t>
  </si>
  <si>
    <t>ROI</t>
  </si>
  <si>
    <t>VAT OVERVIEW</t>
  </si>
  <si>
    <t>Current VAT Payable</t>
  </si>
  <si>
    <t>Total Incoming VAT</t>
  </si>
  <si>
    <t>Total Outgoing VAT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</si>
</sst>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_(&quot;€&quot;* #,##0_);_(&quot;€&quot;* \(#,##0\);_(&quot;€&quot;* &quot;-&quot;??_);_(@_)"/>
    <numFmt numFmtId="166" formatCode="yyyy-mm-dd"/>
    <numFmt numFmtId="167" formatCode="yyyy-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rgb="FFFFFFFF"/>
      <name val="Arial"/>
      <scheme val="minor"/>
    </font>
    <font>
      <u/>
      <color theme="1"/>
      <name val="Arial"/>
      <scheme val="minor"/>
    </font>
    <font>
      <color rgb="FF434343"/>
      <name val="Roboto"/>
    </font>
    <font>
      <b/>
      <sz val="11.0"/>
      <color theme="1"/>
      <name val="Calibri"/>
    </font>
    <font>
      <b/>
      <color theme="1"/>
      <name val="Arial"/>
      <scheme val="minor"/>
    </font>
    <font>
      <b/>
      <sz val="19.0"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6F8F9"/>
        <bgColor rgb="FFF6F8F9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2" numFmtId="165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  <xf borderId="2" fillId="2" fontId="2" numFmtId="165" xfId="0" applyAlignment="1" applyBorder="1" applyFont="1" applyNumberFormat="1">
      <alignment readingOrder="0" shrinkToFit="0" vertical="center" wrapText="0"/>
    </xf>
    <xf borderId="3" fillId="2" fontId="5" numFmtId="0" xfId="0" applyAlignment="1" applyBorder="1" applyFont="1">
      <alignment horizontal="right" readingOrder="0" shrinkToFit="0" vertical="center" wrapText="0"/>
    </xf>
    <xf borderId="4" fillId="4" fontId="5" numFmtId="0" xfId="0" applyAlignment="1" applyBorder="1" applyFill="1" applyFont="1">
      <alignment horizontal="right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2" fillId="5" fontId="6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2" fillId="6" fontId="2" numFmtId="0" xfId="0" applyAlignment="1" applyBorder="1" applyFill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left" readingOrder="0" shrinkToFit="0" vertical="center" wrapText="0"/>
    </xf>
    <xf borderId="6" fillId="2" fontId="5" numFmtId="0" xfId="0" applyAlignment="1" applyBorder="1" applyFont="1">
      <alignment shrinkToFit="0" vertical="center" wrapText="0"/>
    </xf>
    <xf borderId="3" fillId="2" fontId="5" numFmtId="4" xfId="0" applyAlignment="1" applyBorder="1" applyFont="1" applyNumberFormat="1">
      <alignment horizontal="right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7" fillId="4" fontId="5" numFmtId="0" xfId="0" applyAlignment="1" applyBorder="1" applyFont="1">
      <alignment readingOrder="0" shrinkToFit="0" vertical="center" wrapText="0"/>
    </xf>
    <xf borderId="4" fillId="4" fontId="5" numFmtId="4" xfId="0" applyAlignment="1" applyBorder="1" applyFont="1" applyNumberFormat="1">
      <alignment horizontal="right"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4" fontId="5" numFmtId="0" xfId="0" applyAlignment="1" applyBorder="1" applyFont="1">
      <alignment shrinkToFit="0" vertical="center" wrapText="0"/>
    </xf>
    <xf borderId="0" fillId="2" fontId="5" numFmtId="4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7" numFmtId="4" xfId="0" applyAlignment="1" applyFont="1" applyNumberForma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0" fontId="1" numFmtId="4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Font="1" applyNumberFormat="1"/>
    <xf borderId="0" fillId="0" fontId="3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7" fontId="8" numFmtId="0" xfId="0" applyAlignment="1" applyFill="1" applyFont="1">
      <alignment readingOrder="0"/>
    </xf>
    <xf borderId="0" fillId="8" fontId="1" numFmtId="0" xfId="0" applyFill="1" applyFont="1"/>
    <xf borderId="0" fillId="8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8" fontId="8" numFmtId="0" xfId="0" applyAlignment="1" applyFont="1">
      <alignment readingOrder="0"/>
    </xf>
    <xf borderId="0" fillId="8" fontId="7" numFmtId="0" xfId="0" applyAlignment="1" applyFont="1">
      <alignment horizont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5">
    <tableStyle count="4" pivot="0" name="Proj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li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ayment Allocation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lient Payme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5" pivot="0" name="Budget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Budget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ntractor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ntrac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xpens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ceivab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ank Accou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sh Flow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VAT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Opening, Income, Expense, Net and Closing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'Cash Flow'!$B$1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'Cash Flow'!$A$2:$A$24</c:f>
            </c:strRef>
          </c:cat>
          <c:val>
            <c:numRef>
              <c:f>'Cash Flow'!$B$2:$B$24</c:f>
              <c:numCache/>
            </c:numRef>
          </c:val>
          <c:smooth val="0"/>
        </c:ser>
        <c:ser>
          <c:idx val="1"/>
          <c:order val="1"/>
          <c:tx>
            <c:strRef>
              <c:f>'Cash Flow'!$C$1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'Cash Flow'!$A$2:$A$24</c:f>
            </c:strRef>
          </c:cat>
          <c:val>
            <c:numRef>
              <c:f>'Cash Flow'!$C$2:$C$24</c:f>
              <c:numCache/>
            </c:numRef>
          </c:val>
          <c:smooth val="0"/>
        </c:ser>
        <c:ser>
          <c:idx val="2"/>
          <c:order val="2"/>
          <c:tx>
            <c:strRef>
              <c:f>'Cash Flow'!$D$1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'Cash Flow'!$A$2:$A$24</c:f>
            </c:strRef>
          </c:cat>
          <c:val>
            <c:numRef>
              <c:f>'Cash Flow'!$D$2:$D$24</c:f>
              <c:numCache/>
            </c:numRef>
          </c:val>
          <c:smooth val="0"/>
        </c:ser>
        <c:ser>
          <c:idx val="3"/>
          <c:order val="3"/>
          <c:tx>
            <c:strRef>
              <c:f>'Cash Flow'!$E$1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'Cash Flow'!$A$2:$A$24</c:f>
            </c:strRef>
          </c:cat>
          <c:val>
            <c:numRef>
              <c:f>'Cash Flow'!$E$2:$E$24</c:f>
              <c:numCache/>
            </c:numRef>
          </c:val>
          <c:smooth val="0"/>
        </c:ser>
        <c:ser>
          <c:idx val="4"/>
          <c:order val="4"/>
          <c:tx>
            <c:strRef>
              <c:f>'Cash Flow'!$F$1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'Cash Flow'!$A$2:$A$24</c:f>
            </c:strRef>
          </c:cat>
          <c:val>
            <c:numRef>
              <c:f>'Cash Flow'!$F$2:$F$24</c:f>
              <c:numCache/>
            </c:numRef>
          </c:val>
          <c:smooth val="0"/>
        </c:ser>
        <c:axId val="1125629054"/>
        <c:axId val="1041037478"/>
      </c:lineChart>
      <c:catAx>
        <c:axId val="1125629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037478"/>
      </c:catAx>
      <c:valAx>
        <c:axId val="1041037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629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47625</xdr:rowOff>
    </xdr:from>
    <xdr:ext cx="2638425" cy="981075"/>
    <xdr:sp>
      <xdr:nvSpPr>
        <xdr:cNvPr id="3" name="Shape 3"/>
        <xdr:cNvSpPr/>
      </xdr:nvSpPr>
      <xdr:spPr>
        <a:xfrm>
          <a:off x="2501775" y="890625"/>
          <a:ext cx="2622000" cy="960600"/>
        </a:xfrm>
        <a:prstGeom prst="roundRect">
          <a:avLst>
            <a:gd fmla="val 16667" name="adj"/>
          </a:avLst>
        </a:prstGeom>
        <a:solidFill>
          <a:srgbClr val="4A86E8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FF"/>
              </a:solidFill>
            </a:rPr>
            <a:t>UPDATE DASHBOARD</a:t>
          </a:r>
          <a:endParaRPr b="1" sz="16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gomed Omarov (alkihuri)" id="{38638920-69c1-46c4-a6b8-5c8846b7900b}" providerId="google-sheets"/>
</x18tc:personList>
</file>

<file path=xl/tables/table1.xml><?xml version="1.0" encoding="utf-8"?>
<table xmlns="http://schemas.openxmlformats.org/spreadsheetml/2006/main" ref="A1:I27" displayName="Projects" name="Projects" id="1">
  <tableColumns count="9">
    <tableColumn name="Project ID" id="1"/>
    <tableColumn name="Project Name" id="2"/>
    <tableColumn name="Status" id="3"/>
    <tableColumn name="Start Date" id="4"/>
    <tableColumn name="End Date" id="5"/>
    <tableColumn name="Planned Budget" id="6"/>
    <tableColumn name="Planned Revenue" id="7"/>
    <tableColumn name="Sellable Area" id="8"/>
    <tableColumn name="Units Count" id="9"/>
  </tableColumns>
  <tableStyleInfo name="Projects-style" showColumnStripes="0" showFirstColumn="1" showLastColumn="1" showRowStripes="1"/>
</table>
</file>

<file path=xl/tables/table2.xml><?xml version="1.0" encoding="utf-8"?>
<table xmlns="http://schemas.openxmlformats.org/spreadsheetml/2006/main" ref="A1:G30" displayName="Units" name="Units" id="2">
  <tableColumns count="7">
    <tableColumn name="Unit ID" id="1"/>
    <tableColumn name="Project ID" id="2"/>
    <tableColumn name="Type" id="3"/>
    <tableColumn name="Number" id="4"/>
    <tableColumn name="Floor" id="5"/>
    <tableColumn name="Area" id="6"/>
    <tableColumn name="Status" id="7"/>
  </tableColumns>
  <tableStyleInfo name="Units-style" showColumnStripes="0" showFirstColumn="1" showLastColumn="1" showRowStripes="1"/>
</table>
</file>

<file path=xl/tables/table3.xml><?xml version="1.0" encoding="utf-8"?>
<table xmlns="http://schemas.openxmlformats.org/spreadsheetml/2006/main" ref="A1:E1004" displayName="Clients" name="Clients" id="3">
  <tableColumns count="5">
    <tableColumn name="Client ID" id="1"/>
    <tableColumn name="Name" id="2"/>
    <tableColumn name="Phone" id="3"/>
    <tableColumn name="Email" id="4"/>
    <tableColumn name="Notes" id="5"/>
  </tableColumns>
  <tableStyleInfo name="Clients-style" showColumnStripes="0" showFirstColumn="1" showLastColumn="1" showRowStripes="1"/>
</table>
</file>

<file path=xl/tables/table4.xml><?xml version="1.0" encoding="utf-8"?>
<table xmlns="http://schemas.openxmlformats.org/spreadsheetml/2006/main" ref="A1:R28" displayName="Sales" name="Sales" id="4">
  <tableColumns count="18">
    <tableColumn name="Sale ID" id="1"/>
    <tableColumn name="Client ID" id="2"/>
    <tableColumn name="Project ID" id="3"/>
    <tableColumn name="Unit ID" id="4"/>
    <tableColumn name="Price" id="5"/>
    <tableColumn name="Price m2" id="6"/>
    <tableColumn name="Reserve Date" id="7"/>
    <tableColumn name="Contract Date" id="8"/>
    <tableColumn name="Status" id="9"/>
    <tableColumn name="Trello" id="10"/>
    <tableColumn name="Column 1" id="11"/>
    <tableColumn name="Column 2" id="12"/>
    <tableColumn name="Column 3" id="13"/>
    <tableColumn name="Column 4" id="14"/>
    <tableColumn name="Column 5" id="15"/>
    <tableColumn name="Column 6" id="16"/>
    <tableColumn name="Column 7" id="17"/>
    <tableColumn name="Column 8" id="18"/>
  </tableColumns>
  <tableStyleInfo name="Sales-style" showColumnStripes="0" showFirstColumn="1" showLastColumn="1" showRowStripes="1"/>
</table>
</file>

<file path=xl/tables/table5.xml><?xml version="1.0" encoding="utf-8"?>
<table xmlns="http://schemas.openxmlformats.org/spreadsheetml/2006/main" ref="A1:E22" displayName="Paymen_Alloc" name="Paymen_Alloc" id="5">
  <tableColumns count="5">
    <tableColumn name="Payment ID" id="1"/>
    <tableColumn name="Sale ID" id="2"/>
    <tableColumn name="Client" id="3"/>
    <tableColumn name="Allocated" id="4"/>
    <tableColumn name="Date" id="5"/>
  </tableColumns>
  <tableStyleInfo name="Payment Allocations-style" showColumnStripes="0" showFirstColumn="1" showLastColumn="1" showRowStripes="1"/>
</table>
</file>

<file path=xl/tables/table6.xml><?xml version="1.0" encoding="utf-8"?>
<table xmlns="http://schemas.openxmlformats.org/spreadsheetml/2006/main" ref="A1:I1003" displayName="Client_payments" name="Client_payments" id="6">
  <tableColumns count="9">
    <tableColumn name="Payment ID" id="1"/>
    <tableColumn name="Date" id="2"/>
    <tableColumn name="Client" id="3"/>
    <tableColumn name="Unit" id="4"/>
    <tableColumn name="Payment Info" id="5"/>
    <tableColumn name="Amount" id="6"/>
    <tableColumn name="Method" id="7"/>
    <tableColumn name="Reference" id="8"/>
    <tableColumn name="Confirmed " id="9"/>
  </tableColumns>
  <tableStyleInfo name="Client Payments-style" showColumnStripes="0" showFirstColumn="1" showLastColumn="1" showRowStripes="1"/>
</table>
</file>

<file path=xl/tables/table7.xml><?xml version="1.0" encoding="utf-8"?>
<table xmlns="http://schemas.openxmlformats.org/spreadsheetml/2006/main" totalsRowCount="1" ref="A1:I31" displayName="Budjet" name="Budjet" id="7">
  <tableColumns count="9">
    <tableColumn name="Budget ID" id="1"/>
    <tableColumn name="Project" id="2"/>
    <tableColumn name="Category" id="3"/>
    <tableColumn name="Unit" id="4"/>
    <tableColumn name="Qty" id="5"/>
    <tableColumn name="Price" id="6"/>
    <tableColumn name="Total (Estimated)" id="7"/>
    <tableColumn name="Total (Real)" id="8"/>
    <tableColumn name="Difference" id="9"/>
  </tableColumns>
  <tableStyleInfo name="Budget-style" showColumnStripes="0" showFirstColumn="1" showLastColumn="1" showRowStripes="1"/>
</table>
</file>

<file path=xl/tables/table8.xml><?xml version="1.0" encoding="utf-8"?>
<table xmlns="http://schemas.openxmlformats.org/spreadsheetml/2006/main" ref="K5:M6" displayName="FINAL_VALUES" name="FINAL_VALUES" id="8">
  <tableColumns count="3">
    <tableColumn name="ESTIMATED" id="1"/>
    <tableColumn name="REAL" id="2"/>
    <tableColumn name="BALANCE" id="3"/>
  </tableColumns>
  <tableStyleInfo name="Budget-style 2" showColumnStripes="0" showFirstColumn="1" showLastColumn="1" showRowStripes="1"/>
</table>
</file>

<file path=xl/tables/table9.xml><?xml version="1.0" encoding="utf-8"?>
<table xmlns="http://schemas.openxmlformats.org/spreadsheetml/2006/main" ref="A1:G26" displayName="Contractors" name="Contractors" id="9">
  <tableColumns count="7">
    <tableColumn name="Contractor ID" id="1"/>
    <tableColumn name="Name" id="2"/>
    <tableColumn name="Phone" id="3"/>
    <tableColumn name="Email" id="4"/>
    <tableColumn name="Notes " id="5"/>
    <tableColumn name="Column 1" id="6"/>
    <tableColumn name="Column 2" id="7"/>
  </tableColumns>
  <tableStyleInfo name="Contractors-style" showColumnStripes="0" showFirstColumn="1" showLastColumn="1" showRowStripes="1"/>
</table>
</file>

<file path=xl/tables/table10.xml><?xml version="1.0" encoding="utf-8"?>
<table xmlns="http://schemas.openxmlformats.org/spreadsheetml/2006/main" ref="A1:J18" displayName="Contract" name="Contract" id="10">
  <tableColumns count="10">
    <tableColumn name="Contract ID" id="1"/>
    <tableColumn name="Project ID" id="2"/>
    <tableColumn name="Contractor Name" id="3"/>
    <tableColumn name="Contract Name" id="4"/>
    <tableColumn name="Contract Amount_x000a_" id="5"/>
    <tableColumn name="Paid" id="6"/>
    <tableColumn name="Remaining" id="7"/>
    <tableColumn name="% Complete " id="8"/>
    <tableColumn name=" Status" id="9"/>
    <tableColumn name="Trello" id="10"/>
  </tableColumns>
  <tableStyleInfo name="Contracts-style" showColumnStripes="0" showFirstColumn="1" showLastColumn="1" showRowStripes="1"/>
</table>
</file>

<file path=xl/tables/table11.xml><?xml version="1.0" encoding="utf-8"?>
<table xmlns="http://schemas.openxmlformats.org/spreadsheetml/2006/main" ref="A1:J27" displayName="Expenses" name="Expenses" id="11">
  <tableColumns count="10">
    <tableColumn name="Expense ID" id="1"/>
    <tableColumn name="Date" id="2"/>
    <tableColumn name="Project" id="3"/>
    <tableColumn name="Contractor" id="4"/>
    <tableColumn name="Contract" id="5"/>
    <tableColumn name="Category" id="6"/>
    <tableColumn name="Amount" id="7"/>
    <tableColumn name="Status" id="8"/>
    <tableColumn name="Payment Date " id="9"/>
    <tableColumn name="Verification" id="10"/>
  </tableColumns>
  <tableStyleInfo name="Expenses-style" showColumnStripes="0" showFirstColumn="1" showLastColumn="1" showRowStripes="1"/>
</table>
</file>

<file path=xl/tables/table12.xml><?xml version="1.0" encoding="utf-8"?>
<table xmlns="http://schemas.openxmlformats.org/spreadsheetml/2006/main" ref="A1:H29" displayName="Receivables" name="Receivables" id="12">
  <tableColumns count="8">
    <tableColumn name="Client" id="1"/>
    <tableColumn name="Project" id="2"/>
    <tableColumn name="Unit" id="3"/>
    <tableColumn name="Sale" id="4"/>
    <tableColumn name="Paid" id="5"/>
    <tableColumn name="Outstanding" id="6"/>
    <tableColumn name="Status" id="7"/>
    <tableColumn name="Column 8" id="8"/>
  </tableColumns>
  <tableStyleInfo name="Receivables-style" showColumnStripes="0" showFirstColumn="1" showLastColumn="1" showRowStripes="1"/>
</table>
</file>

<file path=xl/tables/table13.xml><?xml version="1.0" encoding="utf-8"?>
<table xmlns="http://schemas.openxmlformats.org/spreadsheetml/2006/main" ref="A1:F17" displayName="Bank_Accounts" name="Bank_Accounts" id="13">
  <tableColumns count="6">
    <tableColumn name="Account ID" id="1"/>
    <tableColumn name="Name" id="2"/>
    <tableColumn name="Bank" id="3"/>
    <tableColumn name="Currency" id="4"/>
    <tableColumn name="Balance" id="5"/>
    <tableColumn name="Updated " id="6"/>
  </tableColumns>
  <tableStyleInfo name="Bank Accounts-style" showColumnStripes="0" showFirstColumn="1" showLastColumn="1" showRowStripes="1"/>
</table>
</file>

<file path=xl/tables/table14.xml><?xml version="1.0" encoding="utf-8"?>
<table xmlns="http://schemas.openxmlformats.org/spreadsheetml/2006/main" ref="A1:G24" displayName="Cash_Flow" name="Cash_Flow" id="14">
  <tableColumns count="7">
    <tableColumn name="Month" id="1"/>
    <tableColumn name="Opening" id="2"/>
    <tableColumn name="Income" id="3"/>
    <tableColumn name="Expense" id="4"/>
    <tableColumn name="Net" id="5"/>
    <tableColumn name="Closing" id="6"/>
    <tableColumn name="Verifying" id="7"/>
  </tableColumns>
  <tableStyleInfo name="Cash Flow-style" showColumnStripes="0" showFirstColumn="1" showLastColumn="1" showRowStripes="1"/>
</table>
</file>

<file path=xl/tables/table15.xml><?xml version="1.0" encoding="utf-8"?>
<table xmlns="http://schemas.openxmlformats.org/spreadsheetml/2006/main" ref="A1:G18" displayName="VAT" name="VAT" id="15">
  <tableColumns count="7">
    <tableColumn name="Month" id="1"/>
    <tableColumn name="Project ID" id="2"/>
    <tableColumn name="Incoming VAT" id="3"/>
    <tableColumn name="Outgoing VAT" id="4"/>
    <tableColumn name="VAT Payable" id="5"/>
    <tableColumn name="Cumulative VAT" id="6"/>
    <tableColumn name="Type" id="7"/>
  </tableColumns>
  <tableStyleInfo name="V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4-23T13:21:18.00" personId="{38638920-69c1-46c4-a6b8-5c8846b7900b}" id="{88473bd9-e736-4d19-80b5-6d083cdbda09}" done="0">
    <x18tc:text xml:space="preserve">Тут просто верификация расчетов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trkpQUiBpET0O5cl3Q-SDMpJzWoZ6UmsJi0fL3ts4E/edit?gid=144341563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63"/>
    <col customWidth="1" min="3" max="3" width="15.38"/>
    <col customWidth="1" min="4" max="4" width="16.13"/>
    <col customWidth="1" min="5" max="5" width="15.38"/>
    <col customWidth="1" min="6" max="6" width="17.25"/>
    <col customWidth="1" min="7" max="7" width="18.25"/>
    <col customWidth="1" min="8" max="8" width="15.13"/>
    <col customWidth="1" min="9" max="9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</row>
    <row r="2" ht="22.5" customHeight="1">
      <c r="A2" s="3" t="s">
        <v>10</v>
      </c>
      <c r="B2" s="4" t="s">
        <v>11</v>
      </c>
      <c r="C2" s="3" t="s">
        <v>12</v>
      </c>
      <c r="D2" s="5">
        <v>46122.0</v>
      </c>
      <c r="E2" s="5">
        <v>46133.0</v>
      </c>
      <c r="F2" s="4">
        <v>8500000.0</v>
      </c>
      <c r="G2" s="4">
        <v>1.2E7</v>
      </c>
      <c r="H2" s="4">
        <v>3500.0</v>
      </c>
      <c r="I2" s="4">
        <v>42.0</v>
      </c>
    </row>
    <row r="3" ht="22.5" customHeight="1">
      <c r="A3" s="3" t="s">
        <v>13</v>
      </c>
      <c r="B3" s="4" t="s">
        <v>14</v>
      </c>
      <c r="C3" s="3" t="s">
        <v>15</v>
      </c>
      <c r="D3" s="5">
        <v>46119.0</v>
      </c>
      <c r="E3" s="5">
        <v>46136.0</v>
      </c>
      <c r="F3" s="4">
        <v>129000.0</v>
      </c>
      <c r="G3" s="4">
        <v>1500000.0</v>
      </c>
      <c r="H3" s="4">
        <v>2000.0</v>
      </c>
      <c r="I3" s="4">
        <v>12.0</v>
      </c>
    </row>
    <row r="4" ht="22.5" customHeight="1">
      <c r="A4" s="3" t="s">
        <v>16</v>
      </c>
      <c r="B4" s="4" t="s">
        <v>17</v>
      </c>
      <c r="C4" s="3" t="s">
        <v>15</v>
      </c>
      <c r="D4" s="5">
        <v>46022.0</v>
      </c>
      <c r="E4" s="5">
        <v>46473.0</v>
      </c>
      <c r="F4" s="4">
        <v>239000.0</v>
      </c>
      <c r="G4" s="4">
        <v>2323200.0</v>
      </c>
      <c r="H4" s="4">
        <v>3000.0</v>
      </c>
      <c r="I4" s="4">
        <v>14.0</v>
      </c>
    </row>
    <row r="5" ht="22.5" customHeight="1">
      <c r="A5" s="6"/>
      <c r="C5" s="6"/>
      <c r="D5" s="7"/>
      <c r="E5" s="7"/>
    </row>
    <row r="6" ht="22.5" customHeight="1">
      <c r="A6" s="6"/>
      <c r="C6" s="6"/>
      <c r="D6" s="7"/>
      <c r="E6" s="7"/>
    </row>
    <row r="7" ht="22.5" customHeight="1">
      <c r="A7" s="6"/>
      <c r="C7" s="6"/>
      <c r="D7" s="7"/>
      <c r="E7" s="7"/>
    </row>
    <row r="8" ht="22.5" customHeight="1">
      <c r="A8" s="6"/>
      <c r="C8" s="6"/>
      <c r="D8" s="7"/>
      <c r="E8" s="7"/>
    </row>
    <row r="9" ht="22.5" customHeight="1">
      <c r="A9" s="6"/>
      <c r="C9" s="6"/>
      <c r="D9" s="7"/>
      <c r="E9" s="7"/>
    </row>
    <row r="10" ht="22.5" customHeight="1">
      <c r="A10" s="6"/>
      <c r="C10" s="6"/>
      <c r="D10" s="7"/>
      <c r="E10" s="7"/>
    </row>
    <row r="11" ht="22.5" customHeight="1">
      <c r="A11" s="6"/>
      <c r="C11" s="6"/>
      <c r="D11" s="7"/>
      <c r="E11" s="7"/>
    </row>
    <row r="12" ht="22.5" customHeight="1">
      <c r="A12" s="6"/>
      <c r="C12" s="6"/>
      <c r="D12" s="7"/>
      <c r="E12" s="7"/>
    </row>
    <row r="13" ht="22.5" customHeight="1">
      <c r="A13" s="6"/>
      <c r="C13" s="6"/>
      <c r="D13" s="7"/>
      <c r="E13" s="7"/>
    </row>
    <row r="14" ht="22.5" customHeight="1">
      <c r="A14" s="6"/>
      <c r="C14" s="6"/>
      <c r="D14" s="7"/>
      <c r="E14" s="7"/>
    </row>
    <row r="15" ht="22.5" customHeight="1">
      <c r="A15" s="6"/>
      <c r="C15" s="6"/>
      <c r="D15" s="7"/>
      <c r="E15" s="7"/>
    </row>
    <row r="16" ht="22.5" customHeight="1">
      <c r="A16" s="6"/>
      <c r="C16" s="6"/>
      <c r="D16" s="7"/>
      <c r="E16" s="7"/>
    </row>
    <row r="17" ht="22.5" customHeight="1">
      <c r="A17" s="6"/>
      <c r="C17" s="6"/>
      <c r="D17" s="7"/>
      <c r="E17" s="7"/>
    </row>
    <row r="18" ht="22.5" customHeight="1">
      <c r="A18" s="6"/>
      <c r="C18" s="6"/>
      <c r="D18" s="7"/>
      <c r="E18" s="7"/>
    </row>
    <row r="19" ht="22.5" customHeight="1">
      <c r="A19" s="6"/>
      <c r="C19" s="6"/>
      <c r="D19" s="7"/>
      <c r="E19" s="7"/>
    </row>
    <row r="20" ht="22.5" customHeight="1">
      <c r="A20" s="6"/>
      <c r="C20" s="6"/>
      <c r="D20" s="7"/>
      <c r="E20" s="7"/>
    </row>
    <row r="21" ht="22.5" customHeight="1">
      <c r="A21" s="6"/>
      <c r="C21" s="6"/>
      <c r="D21" s="7"/>
      <c r="E21" s="7"/>
    </row>
    <row r="22" ht="22.5" customHeight="1">
      <c r="A22" s="6"/>
      <c r="C22" s="6"/>
      <c r="D22" s="7"/>
      <c r="E22" s="7"/>
    </row>
    <row r="23" ht="22.5" customHeight="1">
      <c r="A23" s="6"/>
      <c r="C23" s="6"/>
      <c r="D23" s="7"/>
      <c r="E23" s="7"/>
    </row>
    <row r="24" ht="22.5" customHeight="1">
      <c r="A24" s="6"/>
      <c r="C24" s="6"/>
      <c r="D24" s="7"/>
      <c r="E24" s="7"/>
    </row>
    <row r="25" ht="22.5" customHeight="1">
      <c r="A25" s="6"/>
      <c r="C25" s="6"/>
      <c r="D25" s="7"/>
      <c r="E25" s="7"/>
    </row>
    <row r="26" ht="22.5" customHeight="1">
      <c r="A26" s="6"/>
      <c r="C26" s="6"/>
      <c r="D26" s="7"/>
      <c r="E26" s="7"/>
    </row>
    <row r="27" ht="22.5" customHeight="1">
      <c r="A27" s="6"/>
      <c r="C27" s="6"/>
      <c r="D27" s="7"/>
      <c r="E27" s="7"/>
    </row>
  </sheetData>
  <dataValidations>
    <dataValidation type="custom" allowBlank="1" showDropDown="1" sqref="D2:E27">
      <formula1>OR(NOT(ISERROR(DATEVALUE(D2))), AND(ISNUMBER(D2), LEFT(CELL("format", D2))="D"))</formula1>
    </dataValidation>
    <dataValidation type="list" allowBlank="1" sqref="A2:A27">
      <formula1>"P001,P002,P003"</formula1>
    </dataValidation>
    <dataValidation type="list" allowBlank="1" sqref="C2:C27">
      <formula1>"Construction,Pause,Complete"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13.75"/>
    <col customWidth="1" min="7" max="7" width="13.5"/>
  </cols>
  <sheetData>
    <row r="1" ht="22.5" customHeight="1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</v>
      </c>
      <c r="I1" s="2" t="s">
        <v>9</v>
      </c>
    </row>
    <row r="2" ht="22.5" customHeight="1">
      <c r="A2" s="4" t="s">
        <v>23</v>
      </c>
      <c r="B2" s="3" t="s">
        <v>11</v>
      </c>
      <c r="C2" s="3" t="s">
        <v>24</v>
      </c>
      <c r="D2" s="4" t="s">
        <v>25</v>
      </c>
      <c r="E2" s="4">
        <v>1.0</v>
      </c>
      <c r="F2" s="4">
        <v>65.0</v>
      </c>
      <c r="G2" s="3" t="s">
        <v>26</v>
      </c>
    </row>
    <row r="3" ht="22.5" customHeight="1">
      <c r="A3" s="4" t="s">
        <v>27</v>
      </c>
      <c r="B3" s="3" t="s">
        <v>11</v>
      </c>
      <c r="C3" s="3" t="s">
        <v>28</v>
      </c>
      <c r="D3" s="4" t="s">
        <v>29</v>
      </c>
      <c r="E3" s="4">
        <v>1.0</v>
      </c>
      <c r="F3" s="4">
        <v>4.0</v>
      </c>
      <c r="G3" s="3" t="s">
        <v>30</v>
      </c>
    </row>
    <row r="4" ht="22.5" customHeight="1">
      <c r="A4" s="4" t="s">
        <v>31</v>
      </c>
      <c r="B4" s="3" t="s">
        <v>11</v>
      </c>
      <c r="C4" s="3" t="s">
        <v>24</v>
      </c>
      <c r="D4" s="4" t="s">
        <v>32</v>
      </c>
      <c r="E4" s="4">
        <v>3.0</v>
      </c>
      <c r="F4" s="4">
        <v>12.0</v>
      </c>
      <c r="G4" s="3" t="s">
        <v>33</v>
      </c>
    </row>
    <row r="5" ht="22.5" customHeight="1">
      <c r="A5" s="4" t="s">
        <v>34</v>
      </c>
      <c r="B5" s="3" t="s">
        <v>17</v>
      </c>
      <c r="C5" s="3" t="s">
        <v>24</v>
      </c>
      <c r="D5" s="4" t="s">
        <v>35</v>
      </c>
      <c r="E5" s="4">
        <v>5.0</v>
      </c>
      <c r="F5" s="4">
        <v>65.0</v>
      </c>
      <c r="G5" s="3" t="s">
        <v>33</v>
      </c>
    </row>
    <row r="6" ht="22.5" customHeight="1">
      <c r="A6" s="4" t="s">
        <v>36</v>
      </c>
      <c r="B6" s="3" t="s">
        <v>14</v>
      </c>
      <c r="C6" s="3" t="s">
        <v>28</v>
      </c>
      <c r="D6" s="4" t="s">
        <v>37</v>
      </c>
      <c r="E6" s="4">
        <v>6.0</v>
      </c>
      <c r="F6" s="4">
        <v>55.0</v>
      </c>
      <c r="G6" s="3" t="s">
        <v>33</v>
      </c>
    </row>
    <row r="7" ht="22.5" customHeight="1">
      <c r="A7" s="4" t="s">
        <v>38</v>
      </c>
      <c r="B7" s="3" t="s">
        <v>11</v>
      </c>
      <c r="C7" s="3" t="s">
        <v>24</v>
      </c>
      <c r="D7" s="4" t="s">
        <v>39</v>
      </c>
      <c r="E7" s="4">
        <v>7.0</v>
      </c>
      <c r="F7" s="4">
        <v>100.0</v>
      </c>
      <c r="G7" s="3" t="s">
        <v>33</v>
      </c>
    </row>
    <row r="8" ht="22.5" customHeight="1">
      <c r="A8" s="4" t="s">
        <v>40</v>
      </c>
      <c r="B8" s="3" t="s">
        <v>11</v>
      </c>
      <c r="C8" s="3" t="s">
        <v>41</v>
      </c>
      <c r="D8" s="4" t="s">
        <v>42</v>
      </c>
      <c r="E8" s="4">
        <v>9.0</v>
      </c>
      <c r="F8" s="4">
        <v>45.0</v>
      </c>
      <c r="G8" s="3" t="s">
        <v>33</v>
      </c>
    </row>
    <row r="9" ht="22.5" customHeight="1">
      <c r="A9" s="4" t="s">
        <v>43</v>
      </c>
      <c r="B9" s="3" t="s">
        <v>11</v>
      </c>
      <c r="C9" s="3" t="s">
        <v>24</v>
      </c>
      <c r="D9" s="4" t="s">
        <v>44</v>
      </c>
      <c r="E9" s="4">
        <v>2.0</v>
      </c>
      <c r="F9" s="4">
        <v>76.0</v>
      </c>
      <c r="G9" s="3" t="s">
        <v>26</v>
      </c>
    </row>
    <row r="10" ht="22.5" customHeight="1">
      <c r="A10" s="4" t="s">
        <v>45</v>
      </c>
      <c r="B10" s="3" t="s">
        <v>14</v>
      </c>
      <c r="C10" s="3" t="s">
        <v>24</v>
      </c>
      <c r="D10" s="4" t="s">
        <v>46</v>
      </c>
      <c r="E10" s="4">
        <v>1.0</v>
      </c>
      <c r="F10" s="4">
        <v>34.0</v>
      </c>
      <c r="G10" s="3" t="s">
        <v>26</v>
      </c>
    </row>
    <row r="11" ht="22.5" customHeight="1">
      <c r="A11" s="4" t="s">
        <v>47</v>
      </c>
      <c r="B11" s="3" t="s">
        <v>11</v>
      </c>
      <c r="C11" s="3" t="s">
        <v>24</v>
      </c>
      <c r="D11" s="4" t="s">
        <v>48</v>
      </c>
      <c r="E11" s="4">
        <v>3.0</v>
      </c>
      <c r="F11" s="4">
        <v>65.0</v>
      </c>
      <c r="G11" s="3" t="s">
        <v>33</v>
      </c>
    </row>
    <row r="12" ht="22.5" customHeight="1">
      <c r="A12" s="4" t="s">
        <v>49</v>
      </c>
      <c r="B12" s="3" t="s">
        <v>11</v>
      </c>
      <c r="C12" s="3" t="s">
        <v>24</v>
      </c>
      <c r="D12" s="4" t="s">
        <v>50</v>
      </c>
      <c r="E12" s="4">
        <v>3.0</v>
      </c>
      <c r="F12" s="4">
        <v>65.0</v>
      </c>
      <c r="G12" s="3" t="s">
        <v>33</v>
      </c>
    </row>
    <row r="13" ht="22.5" customHeight="1">
      <c r="A13" s="4" t="s">
        <v>51</v>
      </c>
      <c r="B13" s="3" t="s">
        <v>14</v>
      </c>
      <c r="C13" s="3" t="s">
        <v>28</v>
      </c>
      <c r="D13" s="4" t="s">
        <v>52</v>
      </c>
      <c r="E13" s="4">
        <v>3.0</v>
      </c>
      <c r="F13" s="4">
        <v>56.0</v>
      </c>
      <c r="G13" s="3" t="s">
        <v>30</v>
      </c>
    </row>
    <row r="14" ht="22.5" customHeight="1">
      <c r="A14" s="4" t="s">
        <v>53</v>
      </c>
      <c r="B14" s="3" t="s">
        <v>17</v>
      </c>
      <c r="C14" s="3" t="s">
        <v>24</v>
      </c>
      <c r="D14" s="4" t="s">
        <v>54</v>
      </c>
      <c r="E14" s="4">
        <v>5.0</v>
      </c>
      <c r="F14" s="4">
        <v>65.0</v>
      </c>
      <c r="G14" s="3" t="s">
        <v>30</v>
      </c>
    </row>
    <row r="15" ht="22.5" customHeight="1">
      <c r="A15" s="4" t="s">
        <v>55</v>
      </c>
      <c r="B15" s="3" t="s">
        <v>17</v>
      </c>
      <c r="C15" s="3" t="s">
        <v>28</v>
      </c>
      <c r="D15" s="4" t="s">
        <v>56</v>
      </c>
      <c r="E15" s="4">
        <v>3.0</v>
      </c>
      <c r="F15" s="4">
        <v>65.0</v>
      </c>
      <c r="G15" s="3" t="s">
        <v>30</v>
      </c>
    </row>
    <row r="16" ht="22.5" customHeight="1">
      <c r="A16" s="4" t="s">
        <v>57</v>
      </c>
      <c r="B16" s="3" t="s">
        <v>17</v>
      </c>
      <c r="C16" s="3" t="s">
        <v>24</v>
      </c>
      <c r="D16" s="4" t="s">
        <v>58</v>
      </c>
      <c r="E16" s="4">
        <v>6.0</v>
      </c>
      <c r="F16" s="4">
        <v>89.0</v>
      </c>
      <c r="G16" s="3" t="s">
        <v>26</v>
      </c>
    </row>
    <row r="17" ht="22.5" customHeight="1">
      <c r="A17" s="4" t="s">
        <v>59</v>
      </c>
      <c r="B17" s="3" t="s">
        <v>14</v>
      </c>
      <c r="C17" s="3" t="s">
        <v>24</v>
      </c>
      <c r="D17" s="4" t="s">
        <v>60</v>
      </c>
      <c r="E17" s="4">
        <v>3.0</v>
      </c>
      <c r="F17" s="4">
        <v>65.0</v>
      </c>
      <c r="G17" s="3" t="s">
        <v>26</v>
      </c>
    </row>
    <row r="18" ht="22.5" customHeight="1">
      <c r="A18" s="4" t="s">
        <v>61</v>
      </c>
      <c r="B18" s="3" t="s">
        <v>11</v>
      </c>
      <c r="C18" s="3" t="s">
        <v>28</v>
      </c>
      <c r="D18" s="4" t="s">
        <v>62</v>
      </c>
      <c r="E18" s="4">
        <v>1.0</v>
      </c>
      <c r="F18" s="4">
        <v>45.0</v>
      </c>
      <c r="G18" s="3" t="s">
        <v>26</v>
      </c>
    </row>
    <row r="19" ht="22.5" customHeight="1">
      <c r="A19" s="4" t="s">
        <v>63</v>
      </c>
      <c r="B19" s="3" t="s">
        <v>14</v>
      </c>
      <c r="C19" s="3" t="s">
        <v>24</v>
      </c>
      <c r="D19" s="4" t="s">
        <v>64</v>
      </c>
      <c r="E19" s="4">
        <v>3.0</v>
      </c>
      <c r="F19" s="4">
        <v>65.0</v>
      </c>
      <c r="G19" s="3" t="s">
        <v>33</v>
      </c>
    </row>
    <row r="20" ht="22.5" customHeight="1">
      <c r="B20" s="6"/>
      <c r="C20" s="6"/>
      <c r="G20" s="6"/>
    </row>
    <row r="21" ht="22.5" customHeight="1">
      <c r="B21" s="6"/>
      <c r="C21" s="6"/>
      <c r="G21" s="6"/>
    </row>
    <row r="22" ht="22.5" customHeight="1">
      <c r="B22" s="6"/>
      <c r="C22" s="6"/>
      <c r="G22" s="6"/>
    </row>
    <row r="23" ht="22.5" customHeight="1">
      <c r="B23" s="6"/>
      <c r="C23" s="6"/>
      <c r="G23" s="6"/>
    </row>
    <row r="24" ht="22.5" customHeight="1">
      <c r="B24" s="6"/>
      <c r="C24" s="6"/>
      <c r="G24" s="6"/>
    </row>
    <row r="25" ht="22.5" customHeight="1">
      <c r="B25" s="6"/>
      <c r="C25" s="6"/>
      <c r="G25" s="6"/>
    </row>
    <row r="26" ht="22.5" customHeight="1">
      <c r="B26" s="6"/>
      <c r="C26" s="6"/>
      <c r="G26" s="6"/>
    </row>
    <row r="27" ht="22.5" customHeight="1">
      <c r="B27" s="6"/>
      <c r="C27" s="6"/>
      <c r="G27" s="6"/>
    </row>
    <row r="28" ht="22.5" customHeight="1">
      <c r="B28" s="6"/>
      <c r="C28" s="6"/>
      <c r="G28" s="6"/>
    </row>
    <row r="29" ht="22.5" customHeight="1">
      <c r="B29" s="6"/>
      <c r="C29" s="6"/>
      <c r="G29" s="6"/>
    </row>
    <row r="30" ht="22.5" customHeight="1">
      <c r="B30" s="6"/>
      <c r="C30" s="6"/>
      <c r="G30" s="6"/>
    </row>
  </sheetData>
  <dataValidations>
    <dataValidation type="list" allowBlank="1" sqref="C2:C30">
      <formula1>"Apartment,Pakinkg,Commercial"</formula1>
    </dataValidation>
    <dataValidation type="list" allowBlank="1" sqref="G2:G30">
      <formula1>"Available,Reserved,Sold"</formula1>
    </dataValidation>
    <dataValidation type="list" allowBlank="1" sqref="B2:B30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3" max="3" width="18.25"/>
    <col customWidth="1" min="4" max="4" width="14.75"/>
  </cols>
  <sheetData>
    <row r="1" ht="22.5" customHeight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G1" s="2" t="s">
        <v>9</v>
      </c>
    </row>
    <row r="2" ht="22.5" customHeight="1">
      <c r="A2" s="4" t="s">
        <v>70</v>
      </c>
      <c r="B2" s="8" t="s">
        <v>71</v>
      </c>
      <c r="C2" s="4" t="s">
        <v>72</v>
      </c>
      <c r="D2" s="4" t="s">
        <v>73</v>
      </c>
      <c r="E2" s="4" t="s">
        <v>9</v>
      </c>
      <c r="G2" s="2"/>
    </row>
    <row r="3" ht="22.5" customHeight="1">
      <c r="A3" s="4" t="s">
        <v>74</v>
      </c>
      <c r="B3" s="9" t="s">
        <v>75</v>
      </c>
      <c r="C3" s="4" t="s">
        <v>72</v>
      </c>
      <c r="D3" s="4" t="s">
        <v>73</v>
      </c>
    </row>
    <row r="4" ht="22.5" customHeight="1">
      <c r="A4" s="4" t="s">
        <v>76</v>
      </c>
      <c r="B4" s="9" t="s">
        <v>77</v>
      </c>
      <c r="C4" s="4" t="s">
        <v>72</v>
      </c>
      <c r="D4" s="4" t="s">
        <v>73</v>
      </c>
    </row>
    <row r="5" ht="22.5" customHeight="1">
      <c r="A5" s="4" t="s">
        <v>78</v>
      </c>
      <c r="B5" s="9" t="s">
        <v>79</v>
      </c>
      <c r="C5" s="4" t="s">
        <v>72</v>
      </c>
      <c r="D5" s="4" t="s">
        <v>73</v>
      </c>
    </row>
    <row r="6" ht="22.5" customHeight="1">
      <c r="A6" s="4" t="s">
        <v>80</v>
      </c>
      <c r="B6" s="9" t="s">
        <v>81</v>
      </c>
      <c r="C6" s="4" t="s">
        <v>72</v>
      </c>
      <c r="D6" s="4" t="s">
        <v>73</v>
      </c>
    </row>
    <row r="7" ht="22.5" customHeight="1">
      <c r="A7" s="4" t="s">
        <v>82</v>
      </c>
      <c r="B7" s="9" t="s">
        <v>83</v>
      </c>
      <c r="C7" s="4" t="s">
        <v>72</v>
      </c>
      <c r="D7" s="4" t="s">
        <v>73</v>
      </c>
    </row>
    <row r="8" ht="22.5" customHeight="1">
      <c r="A8" s="4" t="s">
        <v>84</v>
      </c>
      <c r="B8" s="9" t="s">
        <v>85</v>
      </c>
      <c r="C8" s="4" t="s">
        <v>72</v>
      </c>
      <c r="D8" s="4" t="s">
        <v>73</v>
      </c>
    </row>
    <row r="9" ht="22.5" customHeight="1">
      <c r="A9" s="4" t="s">
        <v>86</v>
      </c>
      <c r="B9" s="9" t="s">
        <v>87</v>
      </c>
      <c r="C9" s="4" t="s">
        <v>72</v>
      </c>
      <c r="D9" s="4" t="s">
        <v>73</v>
      </c>
    </row>
    <row r="10" ht="22.5" customHeight="1">
      <c r="A10" s="4" t="s">
        <v>88</v>
      </c>
      <c r="B10" s="8" t="s">
        <v>89</v>
      </c>
      <c r="C10" s="4" t="s">
        <v>72</v>
      </c>
      <c r="D10" s="4" t="s">
        <v>73</v>
      </c>
    </row>
    <row r="11" ht="22.5" customHeight="1">
      <c r="A11" s="4" t="s">
        <v>90</v>
      </c>
      <c r="B11" s="9" t="s">
        <v>91</v>
      </c>
      <c r="C11" s="4" t="s">
        <v>72</v>
      </c>
      <c r="D11" s="4" t="s">
        <v>73</v>
      </c>
    </row>
    <row r="12" ht="22.5" customHeight="1">
      <c r="A12" s="4" t="s">
        <v>92</v>
      </c>
      <c r="B12" s="9" t="s">
        <v>93</v>
      </c>
      <c r="C12" s="4" t="s">
        <v>72</v>
      </c>
      <c r="D12" s="4" t="s">
        <v>73</v>
      </c>
    </row>
    <row r="13" ht="22.5" customHeight="1">
      <c r="A13" s="4" t="s">
        <v>94</v>
      </c>
      <c r="B13" s="9" t="s">
        <v>95</v>
      </c>
      <c r="C13" s="4" t="s">
        <v>72</v>
      </c>
      <c r="D13" s="4" t="s">
        <v>73</v>
      </c>
    </row>
    <row r="14" ht="22.5" customHeight="1">
      <c r="A14" s="4" t="s">
        <v>96</v>
      </c>
      <c r="B14" s="9" t="s">
        <v>97</v>
      </c>
      <c r="C14" s="4" t="s">
        <v>72</v>
      </c>
      <c r="D14" s="4" t="s">
        <v>73</v>
      </c>
    </row>
    <row r="15" ht="22.5" customHeight="1">
      <c r="A15" s="4" t="s">
        <v>98</v>
      </c>
      <c r="B15" s="9" t="s">
        <v>99</v>
      </c>
      <c r="C15" s="4" t="s">
        <v>72</v>
      </c>
      <c r="D15" s="4" t="s">
        <v>73</v>
      </c>
    </row>
    <row r="16" ht="22.5" customHeight="1">
      <c r="B16" s="6"/>
    </row>
    <row r="17" ht="22.5" customHeight="1">
      <c r="B17" s="6"/>
    </row>
    <row r="18" ht="22.5" customHeight="1">
      <c r="A18" s="10"/>
      <c r="B18" s="9"/>
      <c r="C18" s="10"/>
      <c r="D18" s="10"/>
      <c r="E18" s="10"/>
    </row>
    <row r="19" ht="22.5" customHeight="1">
      <c r="A19" s="10"/>
      <c r="B19" s="9"/>
      <c r="C19" s="10"/>
      <c r="D19" s="10"/>
      <c r="E19" s="10"/>
    </row>
    <row r="20" ht="22.5" customHeight="1">
      <c r="A20" s="10"/>
      <c r="B20" s="9"/>
      <c r="C20" s="10"/>
      <c r="D20" s="10"/>
      <c r="E20" s="10"/>
    </row>
    <row r="21" ht="22.5" customHeight="1">
      <c r="A21" s="10"/>
      <c r="B21" s="9"/>
      <c r="C21" s="10"/>
      <c r="D21" s="10"/>
      <c r="E21" s="10"/>
    </row>
    <row r="22" ht="22.5" customHeight="1">
      <c r="A22" s="10"/>
      <c r="B22" s="9"/>
      <c r="C22" s="10"/>
      <c r="D22" s="10"/>
      <c r="E22" s="10"/>
    </row>
    <row r="23" ht="22.5" customHeight="1">
      <c r="A23" s="10"/>
      <c r="B23" s="9"/>
      <c r="C23" s="10"/>
      <c r="D23" s="10"/>
      <c r="E23" s="10"/>
    </row>
    <row r="24" ht="22.5" customHeight="1">
      <c r="A24" s="10"/>
      <c r="B24" s="9"/>
      <c r="C24" s="10"/>
      <c r="D24" s="10"/>
      <c r="E24" s="10"/>
    </row>
    <row r="25" ht="22.5" customHeight="1">
      <c r="A25" s="10"/>
      <c r="B25" s="9"/>
      <c r="C25" s="10"/>
      <c r="D25" s="10"/>
      <c r="E25" s="10"/>
    </row>
    <row r="26" ht="22.5" customHeight="1">
      <c r="A26" s="10"/>
      <c r="B26" s="9"/>
      <c r="C26" s="10"/>
      <c r="D26" s="10"/>
      <c r="E26" s="10"/>
    </row>
    <row r="27" ht="22.5" customHeight="1">
      <c r="A27" s="10"/>
      <c r="B27" s="9"/>
      <c r="C27" s="10"/>
      <c r="D27" s="10"/>
      <c r="E27" s="10"/>
    </row>
    <row r="28" ht="22.5" customHeight="1">
      <c r="A28" s="10"/>
      <c r="B28" s="9"/>
      <c r="C28" s="10"/>
      <c r="D28" s="10"/>
      <c r="E28" s="10"/>
    </row>
    <row r="29" ht="22.5" customHeight="1">
      <c r="A29" s="10"/>
      <c r="B29" s="9"/>
      <c r="C29" s="10"/>
      <c r="D29" s="10"/>
      <c r="E29" s="10"/>
    </row>
    <row r="30" ht="22.5" customHeight="1">
      <c r="A30" s="10"/>
      <c r="B30" s="9"/>
      <c r="C30" s="10"/>
      <c r="D30" s="10"/>
      <c r="E30" s="10"/>
    </row>
    <row r="31" ht="22.5" customHeight="1">
      <c r="A31" s="10"/>
      <c r="B31" s="9"/>
      <c r="C31" s="10"/>
      <c r="D31" s="10"/>
      <c r="E31" s="10"/>
    </row>
    <row r="32" ht="22.5" customHeight="1">
      <c r="A32" s="10"/>
      <c r="B32" s="9"/>
      <c r="C32" s="10"/>
      <c r="D32" s="10"/>
      <c r="E32" s="10"/>
    </row>
    <row r="33" ht="22.5" customHeight="1">
      <c r="A33" s="10"/>
      <c r="B33" s="9"/>
      <c r="C33" s="10"/>
      <c r="D33" s="10"/>
      <c r="E33" s="10"/>
    </row>
    <row r="34" ht="22.5" customHeight="1">
      <c r="A34" s="10"/>
      <c r="B34" s="9"/>
      <c r="C34" s="10"/>
      <c r="D34" s="10"/>
      <c r="E34" s="10"/>
    </row>
    <row r="35" ht="22.5" customHeight="1">
      <c r="A35" s="10"/>
      <c r="B35" s="9"/>
      <c r="C35" s="10"/>
      <c r="D35" s="10"/>
      <c r="E35" s="10"/>
    </row>
    <row r="36" ht="22.5" customHeight="1">
      <c r="A36" s="10"/>
      <c r="B36" s="9"/>
      <c r="C36" s="10"/>
      <c r="D36" s="10"/>
      <c r="E36" s="10"/>
    </row>
    <row r="37" ht="22.5" customHeight="1">
      <c r="A37" s="10"/>
      <c r="B37" s="9"/>
      <c r="C37" s="10"/>
      <c r="D37" s="10"/>
      <c r="E37" s="10"/>
    </row>
    <row r="38" ht="22.5" customHeight="1">
      <c r="A38" s="10"/>
      <c r="B38" s="9"/>
      <c r="C38" s="10"/>
      <c r="D38" s="10"/>
      <c r="E38" s="10"/>
    </row>
    <row r="39" ht="22.5" customHeight="1">
      <c r="A39" s="10"/>
      <c r="B39" s="9"/>
      <c r="C39" s="10"/>
      <c r="D39" s="10"/>
      <c r="E39" s="10"/>
    </row>
    <row r="40" ht="22.5" customHeight="1">
      <c r="A40" s="10"/>
      <c r="B40" s="9"/>
      <c r="C40" s="10"/>
      <c r="D40" s="10"/>
      <c r="E40" s="10"/>
    </row>
    <row r="41" ht="22.5" customHeight="1">
      <c r="A41" s="10"/>
      <c r="B41" s="9"/>
      <c r="C41" s="10"/>
      <c r="D41" s="10"/>
      <c r="E41" s="10"/>
    </row>
    <row r="42" ht="22.5" customHeight="1">
      <c r="A42" s="10"/>
      <c r="B42" s="9"/>
      <c r="C42" s="10"/>
      <c r="D42" s="10"/>
      <c r="E42" s="10"/>
    </row>
    <row r="43" ht="22.5" customHeight="1">
      <c r="A43" s="10"/>
      <c r="B43" s="9"/>
      <c r="C43" s="10"/>
      <c r="D43" s="10"/>
      <c r="E43" s="10"/>
    </row>
    <row r="44" ht="22.5" customHeight="1">
      <c r="A44" s="10"/>
      <c r="B44" s="9"/>
      <c r="C44" s="10"/>
      <c r="D44" s="10"/>
      <c r="E44" s="10"/>
    </row>
    <row r="45" ht="22.5" customHeight="1">
      <c r="A45" s="10"/>
      <c r="B45" s="9"/>
      <c r="C45" s="10"/>
      <c r="D45" s="10"/>
      <c r="E45" s="10"/>
    </row>
    <row r="46" ht="22.5" customHeight="1">
      <c r="A46" s="10"/>
      <c r="B46" s="9"/>
      <c r="C46" s="10"/>
      <c r="D46" s="10"/>
      <c r="E46" s="10"/>
    </row>
    <row r="47" ht="22.5" customHeight="1">
      <c r="A47" s="10"/>
      <c r="B47" s="9"/>
      <c r="C47" s="10"/>
      <c r="D47" s="10"/>
      <c r="E47" s="10"/>
    </row>
    <row r="48" ht="22.5" customHeight="1">
      <c r="A48" s="10"/>
      <c r="B48" s="9"/>
      <c r="C48" s="10"/>
      <c r="D48" s="10"/>
      <c r="E48" s="10"/>
    </row>
    <row r="49" ht="22.5" customHeight="1">
      <c r="A49" s="10"/>
      <c r="B49" s="9"/>
      <c r="C49" s="10"/>
      <c r="D49" s="10"/>
      <c r="E49" s="10"/>
    </row>
    <row r="50" ht="22.5" customHeight="1">
      <c r="A50" s="10"/>
      <c r="B50" s="9"/>
      <c r="C50" s="10"/>
      <c r="D50" s="10"/>
      <c r="E50" s="10"/>
    </row>
    <row r="51" ht="22.5" customHeight="1">
      <c r="A51" s="10"/>
      <c r="B51" s="9"/>
      <c r="C51" s="10"/>
      <c r="D51" s="10"/>
      <c r="E51" s="10"/>
    </row>
    <row r="52" ht="22.5" customHeight="1">
      <c r="A52" s="10"/>
      <c r="B52" s="9"/>
      <c r="C52" s="10"/>
      <c r="D52" s="10"/>
      <c r="E52" s="10"/>
    </row>
    <row r="53" ht="22.5" customHeight="1">
      <c r="A53" s="10"/>
      <c r="B53" s="9"/>
      <c r="C53" s="10"/>
      <c r="D53" s="10"/>
      <c r="E53" s="10"/>
    </row>
    <row r="54" ht="22.5" customHeight="1">
      <c r="A54" s="10"/>
      <c r="B54" s="9"/>
      <c r="C54" s="10"/>
      <c r="D54" s="10"/>
      <c r="E54" s="10"/>
    </row>
    <row r="55" ht="22.5" customHeight="1">
      <c r="A55" s="10"/>
      <c r="B55" s="9"/>
      <c r="C55" s="10"/>
      <c r="D55" s="10"/>
      <c r="E55" s="10"/>
    </row>
    <row r="56" ht="22.5" customHeight="1">
      <c r="A56" s="10"/>
      <c r="B56" s="9"/>
      <c r="C56" s="10"/>
      <c r="D56" s="10"/>
      <c r="E56" s="10"/>
    </row>
    <row r="57" ht="22.5" customHeight="1">
      <c r="A57" s="10"/>
      <c r="B57" s="9"/>
      <c r="C57" s="10"/>
      <c r="D57" s="10"/>
      <c r="E57" s="10"/>
    </row>
    <row r="58" ht="22.5" customHeight="1">
      <c r="A58" s="10"/>
      <c r="B58" s="9"/>
      <c r="C58" s="10"/>
      <c r="D58" s="10"/>
      <c r="E58" s="10"/>
    </row>
    <row r="59" ht="22.5" customHeight="1">
      <c r="A59" s="10"/>
      <c r="B59" s="9"/>
      <c r="C59" s="10"/>
      <c r="D59" s="10"/>
      <c r="E59" s="10"/>
    </row>
    <row r="60" ht="22.5" customHeight="1">
      <c r="A60" s="10"/>
      <c r="B60" s="9"/>
      <c r="C60" s="10"/>
      <c r="D60" s="10"/>
      <c r="E60" s="10"/>
    </row>
    <row r="61" ht="22.5" customHeight="1">
      <c r="A61" s="10"/>
      <c r="B61" s="9"/>
      <c r="C61" s="10"/>
      <c r="D61" s="10"/>
      <c r="E61" s="10"/>
    </row>
    <row r="62" ht="22.5" customHeight="1">
      <c r="A62" s="10"/>
      <c r="B62" s="9"/>
      <c r="C62" s="10"/>
      <c r="D62" s="10"/>
      <c r="E62" s="10"/>
    </row>
    <row r="63" ht="22.5" customHeight="1">
      <c r="A63" s="10"/>
      <c r="B63" s="9"/>
      <c r="C63" s="10"/>
      <c r="D63" s="10"/>
      <c r="E63" s="10"/>
    </row>
    <row r="64" ht="22.5" customHeight="1">
      <c r="A64" s="10"/>
      <c r="B64" s="9"/>
      <c r="C64" s="10"/>
      <c r="D64" s="10"/>
      <c r="E64" s="10"/>
    </row>
    <row r="65" ht="22.5" customHeight="1">
      <c r="A65" s="10"/>
      <c r="B65" s="9"/>
      <c r="C65" s="10"/>
      <c r="D65" s="10"/>
      <c r="E65" s="10"/>
    </row>
    <row r="66" ht="22.5" customHeight="1">
      <c r="A66" s="10"/>
      <c r="B66" s="9"/>
      <c r="C66" s="10"/>
      <c r="D66" s="10"/>
      <c r="E66" s="10"/>
    </row>
    <row r="67" ht="22.5" customHeight="1">
      <c r="A67" s="10"/>
      <c r="B67" s="9"/>
      <c r="C67" s="10"/>
      <c r="D67" s="10"/>
      <c r="E67" s="10"/>
    </row>
    <row r="68" ht="22.5" customHeight="1">
      <c r="A68" s="10"/>
      <c r="B68" s="9"/>
      <c r="C68" s="10"/>
      <c r="D68" s="10"/>
      <c r="E68" s="10"/>
    </row>
    <row r="69" ht="22.5" customHeight="1">
      <c r="A69" s="10"/>
      <c r="B69" s="9"/>
      <c r="C69" s="10"/>
      <c r="D69" s="10"/>
      <c r="E69" s="10"/>
    </row>
    <row r="70" ht="22.5" customHeight="1">
      <c r="A70" s="10"/>
      <c r="B70" s="9"/>
      <c r="C70" s="10"/>
      <c r="D70" s="10"/>
      <c r="E70" s="10"/>
    </row>
    <row r="71" ht="22.5" customHeight="1">
      <c r="A71" s="10"/>
      <c r="B71" s="9"/>
      <c r="C71" s="10"/>
      <c r="D71" s="10"/>
      <c r="E71" s="10"/>
    </row>
    <row r="72" ht="22.5" customHeight="1">
      <c r="A72" s="10"/>
      <c r="B72" s="9"/>
      <c r="C72" s="10"/>
      <c r="D72" s="10"/>
      <c r="E72" s="10"/>
    </row>
    <row r="73" ht="22.5" customHeight="1">
      <c r="A73" s="10"/>
      <c r="B73" s="9"/>
      <c r="C73" s="10"/>
      <c r="D73" s="10"/>
      <c r="E73" s="10"/>
    </row>
    <row r="74" ht="22.5" customHeight="1">
      <c r="A74" s="10"/>
      <c r="B74" s="9"/>
      <c r="C74" s="10"/>
      <c r="D74" s="10"/>
      <c r="E74" s="10"/>
    </row>
    <row r="75" ht="22.5" customHeight="1">
      <c r="A75" s="10"/>
      <c r="B75" s="9"/>
      <c r="C75" s="10"/>
      <c r="D75" s="10"/>
      <c r="E75" s="10"/>
    </row>
    <row r="76" ht="22.5" customHeight="1">
      <c r="A76" s="10"/>
      <c r="B76" s="9"/>
      <c r="C76" s="10"/>
      <c r="D76" s="10"/>
      <c r="E76" s="10"/>
    </row>
    <row r="77" ht="22.5" customHeight="1">
      <c r="A77" s="10"/>
      <c r="B77" s="9"/>
      <c r="C77" s="10"/>
      <c r="D77" s="10"/>
      <c r="E77" s="10"/>
    </row>
    <row r="78" ht="22.5" customHeight="1">
      <c r="A78" s="10"/>
      <c r="B78" s="9"/>
      <c r="C78" s="10"/>
      <c r="D78" s="10"/>
      <c r="E78" s="10"/>
    </row>
    <row r="79" ht="22.5" customHeight="1">
      <c r="A79" s="10"/>
      <c r="B79" s="9"/>
      <c r="C79" s="10"/>
      <c r="D79" s="10"/>
      <c r="E79" s="10"/>
    </row>
    <row r="80" ht="22.5" customHeight="1">
      <c r="A80" s="10"/>
      <c r="B80" s="9"/>
      <c r="C80" s="10"/>
      <c r="D80" s="10"/>
      <c r="E80" s="10"/>
    </row>
    <row r="81" ht="22.5" customHeight="1">
      <c r="A81" s="10"/>
      <c r="B81" s="9"/>
      <c r="C81" s="10"/>
      <c r="D81" s="10"/>
      <c r="E81" s="10"/>
    </row>
    <row r="82" ht="22.5" customHeight="1">
      <c r="A82" s="10"/>
      <c r="B82" s="9"/>
      <c r="C82" s="10"/>
      <c r="D82" s="10"/>
      <c r="E82" s="10"/>
    </row>
    <row r="83" ht="22.5" customHeight="1">
      <c r="A83" s="10"/>
      <c r="B83" s="9"/>
      <c r="C83" s="10"/>
      <c r="D83" s="10"/>
      <c r="E83" s="10"/>
    </row>
    <row r="84" ht="22.5" customHeight="1">
      <c r="A84" s="10"/>
      <c r="B84" s="9"/>
      <c r="C84" s="10"/>
      <c r="D84" s="10"/>
      <c r="E84" s="10"/>
    </row>
    <row r="85" ht="22.5" customHeight="1">
      <c r="A85" s="10"/>
      <c r="B85" s="9"/>
      <c r="C85" s="10"/>
      <c r="D85" s="10"/>
      <c r="E85" s="10"/>
    </row>
    <row r="86" ht="22.5" customHeight="1">
      <c r="A86" s="10"/>
      <c r="B86" s="9"/>
      <c r="C86" s="10"/>
      <c r="D86" s="10"/>
      <c r="E86" s="10"/>
    </row>
    <row r="87" ht="22.5" customHeight="1">
      <c r="A87" s="10"/>
      <c r="B87" s="9"/>
      <c r="C87" s="10"/>
      <c r="D87" s="10"/>
      <c r="E87" s="10"/>
    </row>
    <row r="88" ht="22.5" customHeight="1">
      <c r="A88" s="10"/>
      <c r="B88" s="9"/>
      <c r="C88" s="10"/>
      <c r="D88" s="10"/>
      <c r="E88" s="10"/>
    </row>
    <row r="89" ht="22.5" customHeight="1">
      <c r="A89" s="10"/>
      <c r="B89" s="9"/>
      <c r="C89" s="10"/>
      <c r="D89" s="10"/>
      <c r="E89" s="10"/>
    </row>
    <row r="90" ht="22.5" customHeight="1">
      <c r="A90" s="10"/>
      <c r="B90" s="9"/>
      <c r="C90" s="10"/>
      <c r="D90" s="10"/>
      <c r="E90" s="10"/>
    </row>
    <row r="91" ht="22.5" customHeight="1">
      <c r="A91" s="10"/>
      <c r="B91" s="9"/>
      <c r="C91" s="10"/>
      <c r="D91" s="10"/>
      <c r="E91" s="10"/>
    </row>
    <row r="92" ht="22.5" customHeight="1">
      <c r="A92" s="10"/>
      <c r="B92" s="9"/>
      <c r="C92" s="10"/>
      <c r="D92" s="10"/>
      <c r="E92" s="10"/>
    </row>
    <row r="93" ht="22.5" customHeight="1">
      <c r="A93" s="10"/>
      <c r="B93" s="9"/>
      <c r="C93" s="10"/>
      <c r="D93" s="10"/>
      <c r="E93" s="10"/>
    </row>
    <row r="94" ht="22.5" customHeight="1">
      <c r="A94" s="10"/>
      <c r="B94" s="9"/>
      <c r="C94" s="10"/>
      <c r="D94" s="10"/>
      <c r="E94" s="10"/>
    </row>
    <row r="95" ht="22.5" customHeight="1">
      <c r="A95" s="10"/>
      <c r="B95" s="9"/>
      <c r="C95" s="10"/>
      <c r="D95" s="10"/>
      <c r="E95" s="10"/>
    </row>
    <row r="96" ht="22.5" customHeight="1">
      <c r="A96" s="10"/>
      <c r="B96" s="9"/>
      <c r="C96" s="10"/>
      <c r="D96" s="10"/>
      <c r="E96" s="10"/>
    </row>
    <row r="97" ht="22.5" customHeight="1">
      <c r="A97" s="10"/>
      <c r="B97" s="9"/>
      <c r="C97" s="10"/>
      <c r="D97" s="10"/>
      <c r="E97" s="10"/>
    </row>
    <row r="98" ht="22.5" customHeight="1">
      <c r="A98" s="10"/>
      <c r="B98" s="9"/>
      <c r="C98" s="10"/>
      <c r="D98" s="10"/>
      <c r="E98" s="10"/>
    </row>
    <row r="99" ht="22.5" customHeight="1">
      <c r="A99" s="10"/>
      <c r="B99" s="9"/>
      <c r="C99" s="10"/>
      <c r="D99" s="10"/>
      <c r="E99" s="10"/>
    </row>
    <row r="100" ht="22.5" customHeight="1">
      <c r="A100" s="10"/>
      <c r="B100" s="9"/>
      <c r="C100" s="10"/>
      <c r="D100" s="10"/>
      <c r="E100" s="10"/>
    </row>
    <row r="101" ht="22.5" customHeight="1">
      <c r="A101" s="10"/>
      <c r="B101" s="9"/>
      <c r="C101" s="10"/>
      <c r="D101" s="10"/>
      <c r="E101" s="10"/>
    </row>
    <row r="102" ht="22.5" customHeight="1">
      <c r="A102" s="10"/>
      <c r="B102" s="9"/>
      <c r="C102" s="10"/>
      <c r="D102" s="10"/>
      <c r="E102" s="10"/>
    </row>
    <row r="103" ht="22.5" customHeight="1">
      <c r="A103" s="10"/>
      <c r="B103" s="9"/>
      <c r="C103" s="10"/>
      <c r="D103" s="10"/>
      <c r="E103" s="10"/>
    </row>
    <row r="104" ht="22.5" customHeight="1">
      <c r="A104" s="10"/>
      <c r="B104" s="9"/>
      <c r="C104" s="10"/>
      <c r="D104" s="10"/>
      <c r="E104" s="10"/>
    </row>
    <row r="105" ht="22.5" customHeight="1">
      <c r="A105" s="10"/>
      <c r="B105" s="9"/>
      <c r="C105" s="10"/>
      <c r="D105" s="10"/>
      <c r="E105" s="10"/>
    </row>
    <row r="106" ht="22.5" customHeight="1">
      <c r="A106" s="10"/>
      <c r="B106" s="9"/>
      <c r="C106" s="10"/>
      <c r="D106" s="10"/>
      <c r="E106" s="10"/>
    </row>
    <row r="107" ht="22.5" customHeight="1">
      <c r="A107" s="10"/>
      <c r="B107" s="9"/>
      <c r="C107" s="10"/>
      <c r="D107" s="10"/>
      <c r="E107" s="10"/>
    </row>
    <row r="108" ht="22.5" customHeight="1">
      <c r="A108" s="10"/>
      <c r="B108" s="9"/>
      <c r="C108" s="10"/>
      <c r="D108" s="10"/>
      <c r="E108" s="10"/>
    </row>
    <row r="109" ht="22.5" customHeight="1">
      <c r="A109" s="10"/>
      <c r="B109" s="9"/>
      <c r="C109" s="10"/>
      <c r="D109" s="10"/>
      <c r="E109" s="10"/>
    </row>
    <row r="110" ht="22.5" customHeight="1">
      <c r="A110" s="10"/>
      <c r="B110" s="9"/>
      <c r="C110" s="10"/>
      <c r="D110" s="10"/>
      <c r="E110" s="10"/>
    </row>
    <row r="111" ht="22.5" customHeight="1">
      <c r="A111" s="10"/>
      <c r="B111" s="9"/>
      <c r="C111" s="10"/>
      <c r="D111" s="10"/>
      <c r="E111" s="10"/>
    </row>
    <row r="112" ht="22.5" customHeight="1">
      <c r="A112" s="10"/>
      <c r="B112" s="9"/>
      <c r="C112" s="10"/>
      <c r="D112" s="10"/>
      <c r="E112" s="10"/>
    </row>
    <row r="113" ht="22.5" customHeight="1">
      <c r="A113" s="10"/>
      <c r="B113" s="9"/>
      <c r="C113" s="10"/>
      <c r="D113" s="10"/>
      <c r="E113" s="10"/>
    </row>
    <row r="114" ht="22.5" customHeight="1">
      <c r="A114" s="10"/>
      <c r="B114" s="9"/>
      <c r="C114" s="10"/>
      <c r="D114" s="10"/>
      <c r="E114" s="10"/>
    </row>
    <row r="115" ht="22.5" customHeight="1">
      <c r="A115" s="10"/>
      <c r="B115" s="9"/>
      <c r="C115" s="10"/>
      <c r="D115" s="10"/>
      <c r="E115" s="10"/>
    </row>
    <row r="116" ht="22.5" customHeight="1">
      <c r="A116" s="10"/>
      <c r="B116" s="9"/>
      <c r="C116" s="10"/>
      <c r="D116" s="10"/>
      <c r="E116" s="10"/>
    </row>
    <row r="117" ht="22.5" customHeight="1">
      <c r="A117" s="10"/>
      <c r="B117" s="9"/>
      <c r="C117" s="10"/>
      <c r="D117" s="10"/>
      <c r="E117" s="10"/>
    </row>
    <row r="118" ht="22.5" customHeight="1">
      <c r="A118" s="10"/>
      <c r="B118" s="9"/>
      <c r="C118" s="10"/>
      <c r="D118" s="10"/>
      <c r="E118" s="10"/>
    </row>
    <row r="119" ht="22.5" customHeight="1">
      <c r="A119" s="10"/>
      <c r="B119" s="9"/>
      <c r="C119" s="10"/>
      <c r="D119" s="10"/>
      <c r="E119" s="10"/>
    </row>
    <row r="120" ht="22.5" customHeight="1">
      <c r="A120" s="10"/>
      <c r="B120" s="9"/>
      <c r="C120" s="10"/>
      <c r="D120" s="10"/>
      <c r="E120" s="10"/>
    </row>
    <row r="121" ht="22.5" customHeight="1">
      <c r="A121" s="10"/>
      <c r="B121" s="9"/>
      <c r="C121" s="10"/>
      <c r="D121" s="10"/>
      <c r="E121" s="10"/>
    </row>
    <row r="122" ht="22.5" customHeight="1">
      <c r="A122" s="10"/>
      <c r="B122" s="9"/>
      <c r="C122" s="10"/>
      <c r="D122" s="10"/>
      <c r="E122" s="10"/>
    </row>
    <row r="123" ht="22.5" customHeight="1">
      <c r="A123" s="10"/>
      <c r="B123" s="9"/>
      <c r="C123" s="10"/>
      <c r="D123" s="10"/>
      <c r="E123" s="10"/>
    </row>
    <row r="124" ht="22.5" customHeight="1">
      <c r="A124" s="10"/>
      <c r="B124" s="9"/>
      <c r="C124" s="10"/>
      <c r="D124" s="10"/>
      <c r="E124" s="10"/>
    </row>
    <row r="125" ht="22.5" customHeight="1">
      <c r="A125" s="10"/>
      <c r="B125" s="9"/>
      <c r="C125" s="10"/>
      <c r="D125" s="10"/>
      <c r="E125" s="10"/>
    </row>
    <row r="126" ht="22.5" customHeight="1">
      <c r="A126" s="10"/>
      <c r="B126" s="9"/>
      <c r="C126" s="10"/>
      <c r="D126" s="10"/>
      <c r="E126" s="10"/>
    </row>
    <row r="127" ht="22.5" customHeight="1">
      <c r="A127" s="10"/>
      <c r="B127" s="9"/>
      <c r="C127" s="10"/>
      <c r="D127" s="10"/>
      <c r="E127" s="10"/>
    </row>
    <row r="128" ht="22.5" customHeight="1">
      <c r="A128" s="10"/>
      <c r="B128" s="9"/>
      <c r="C128" s="10"/>
      <c r="D128" s="10"/>
      <c r="E128" s="10"/>
    </row>
    <row r="129" ht="22.5" customHeight="1">
      <c r="A129" s="10"/>
      <c r="B129" s="9"/>
      <c r="C129" s="10"/>
      <c r="D129" s="10"/>
      <c r="E129" s="10"/>
    </row>
    <row r="130" ht="22.5" customHeight="1">
      <c r="A130" s="10"/>
      <c r="B130" s="9"/>
      <c r="C130" s="10"/>
      <c r="D130" s="10"/>
      <c r="E130" s="10"/>
    </row>
    <row r="131" ht="22.5" customHeight="1">
      <c r="A131" s="10"/>
      <c r="B131" s="9"/>
      <c r="C131" s="10"/>
      <c r="D131" s="10"/>
      <c r="E131" s="10"/>
    </row>
    <row r="132" ht="22.5" customHeight="1">
      <c r="A132" s="10"/>
      <c r="B132" s="9"/>
      <c r="C132" s="10"/>
      <c r="D132" s="10"/>
      <c r="E132" s="10"/>
    </row>
    <row r="133" ht="22.5" customHeight="1">
      <c r="A133" s="10"/>
      <c r="B133" s="9"/>
      <c r="C133" s="10"/>
      <c r="D133" s="10"/>
      <c r="E133" s="10"/>
    </row>
    <row r="134" ht="22.5" customHeight="1">
      <c r="A134" s="10"/>
      <c r="B134" s="9"/>
      <c r="C134" s="10"/>
      <c r="D134" s="10"/>
      <c r="E134" s="10"/>
    </row>
    <row r="135" ht="22.5" customHeight="1">
      <c r="A135" s="10"/>
      <c r="B135" s="9"/>
      <c r="C135" s="10"/>
      <c r="D135" s="10"/>
      <c r="E135" s="10"/>
    </row>
    <row r="136" ht="22.5" customHeight="1">
      <c r="A136" s="10"/>
      <c r="B136" s="9"/>
      <c r="C136" s="10"/>
      <c r="D136" s="10"/>
      <c r="E136" s="10"/>
    </row>
    <row r="137" ht="22.5" customHeight="1">
      <c r="A137" s="10"/>
      <c r="B137" s="9"/>
      <c r="C137" s="10"/>
      <c r="D137" s="10"/>
      <c r="E137" s="10"/>
    </row>
    <row r="138" ht="22.5" customHeight="1">
      <c r="A138" s="10"/>
      <c r="B138" s="9"/>
      <c r="C138" s="10"/>
      <c r="D138" s="10"/>
      <c r="E138" s="10"/>
    </row>
    <row r="139" ht="22.5" customHeight="1">
      <c r="A139" s="10"/>
      <c r="B139" s="9"/>
      <c r="C139" s="10"/>
      <c r="D139" s="10"/>
      <c r="E139" s="10"/>
    </row>
    <row r="140" ht="22.5" customHeight="1">
      <c r="A140" s="10"/>
      <c r="B140" s="9"/>
      <c r="C140" s="10"/>
      <c r="D140" s="10"/>
      <c r="E140" s="10"/>
    </row>
    <row r="141" ht="22.5" customHeight="1">
      <c r="A141" s="10"/>
      <c r="B141" s="9"/>
      <c r="C141" s="10"/>
      <c r="D141" s="10"/>
      <c r="E141" s="10"/>
    </row>
    <row r="142" ht="22.5" customHeight="1">
      <c r="A142" s="10"/>
      <c r="B142" s="9"/>
      <c r="C142" s="10"/>
      <c r="D142" s="10"/>
      <c r="E142" s="10"/>
    </row>
    <row r="143" ht="22.5" customHeight="1">
      <c r="A143" s="10"/>
      <c r="B143" s="9"/>
      <c r="C143" s="10"/>
      <c r="D143" s="10"/>
      <c r="E143" s="10"/>
    </row>
    <row r="144" ht="22.5" customHeight="1">
      <c r="A144" s="10"/>
      <c r="B144" s="9"/>
      <c r="C144" s="10"/>
      <c r="D144" s="10"/>
      <c r="E144" s="10"/>
    </row>
    <row r="145" ht="22.5" customHeight="1">
      <c r="A145" s="10"/>
      <c r="B145" s="9"/>
      <c r="C145" s="10"/>
      <c r="D145" s="10"/>
      <c r="E145" s="10"/>
    </row>
    <row r="146" ht="22.5" customHeight="1">
      <c r="A146" s="10"/>
      <c r="B146" s="9"/>
      <c r="C146" s="10"/>
      <c r="D146" s="10"/>
      <c r="E146" s="10"/>
    </row>
    <row r="147" ht="22.5" customHeight="1">
      <c r="A147" s="10"/>
      <c r="B147" s="9"/>
      <c r="C147" s="10"/>
      <c r="D147" s="10"/>
      <c r="E147" s="10"/>
    </row>
    <row r="148" ht="22.5" customHeight="1">
      <c r="A148" s="10"/>
      <c r="B148" s="9"/>
      <c r="C148" s="10"/>
      <c r="D148" s="10"/>
      <c r="E148" s="10"/>
    </row>
    <row r="149" ht="22.5" customHeight="1">
      <c r="A149" s="10"/>
      <c r="B149" s="9"/>
      <c r="C149" s="10"/>
      <c r="D149" s="10"/>
      <c r="E149" s="10"/>
    </row>
    <row r="150" ht="22.5" customHeight="1">
      <c r="A150" s="10"/>
      <c r="B150" s="9"/>
      <c r="C150" s="10"/>
      <c r="D150" s="10"/>
      <c r="E150" s="10"/>
    </row>
    <row r="151" ht="22.5" customHeight="1">
      <c r="A151" s="10"/>
      <c r="B151" s="9"/>
      <c r="C151" s="10"/>
      <c r="D151" s="10"/>
      <c r="E151" s="10"/>
    </row>
    <row r="152" ht="22.5" customHeight="1">
      <c r="A152" s="10"/>
      <c r="B152" s="9"/>
      <c r="C152" s="10"/>
      <c r="D152" s="10"/>
      <c r="E152" s="10"/>
    </row>
    <row r="153" ht="22.5" customHeight="1">
      <c r="A153" s="10"/>
      <c r="B153" s="9"/>
      <c r="C153" s="10"/>
      <c r="D153" s="10"/>
      <c r="E153" s="10"/>
    </row>
    <row r="154" ht="22.5" customHeight="1">
      <c r="A154" s="10"/>
      <c r="B154" s="9"/>
      <c r="C154" s="10"/>
      <c r="D154" s="10"/>
      <c r="E154" s="10"/>
    </row>
    <row r="155" ht="22.5" customHeight="1">
      <c r="A155" s="10"/>
      <c r="B155" s="9"/>
      <c r="C155" s="10"/>
      <c r="D155" s="10"/>
      <c r="E155" s="10"/>
    </row>
    <row r="156" ht="22.5" customHeight="1">
      <c r="A156" s="10"/>
      <c r="B156" s="9"/>
      <c r="C156" s="10"/>
      <c r="D156" s="10"/>
      <c r="E156" s="10"/>
    </row>
    <row r="157" ht="22.5" customHeight="1">
      <c r="A157" s="10"/>
      <c r="B157" s="9"/>
      <c r="C157" s="10"/>
      <c r="D157" s="10"/>
      <c r="E157" s="10"/>
    </row>
    <row r="158" ht="22.5" customHeight="1">
      <c r="A158" s="10"/>
      <c r="B158" s="9"/>
      <c r="C158" s="10"/>
      <c r="D158" s="10"/>
      <c r="E158" s="10"/>
    </row>
    <row r="159" ht="22.5" customHeight="1">
      <c r="A159" s="10"/>
      <c r="B159" s="9"/>
      <c r="C159" s="10"/>
      <c r="D159" s="10"/>
      <c r="E159" s="10"/>
    </row>
    <row r="160" ht="22.5" customHeight="1">
      <c r="A160" s="10"/>
      <c r="B160" s="9"/>
      <c r="C160" s="10"/>
      <c r="D160" s="10"/>
      <c r="E160" s="10"/>
    </row>
    <row r="161" ht="22.5" customHeight="1">
      <c r="A161" s="10"/>
      <c r="B161" s="9"/>
      <c r="C161" s="10"/>
      <c r="D161" s="10"/>
      <c r="E161" s="10"/>
    </row>
    <row r="162" ht="22.5" customHeight="1">
      <c r="A162" s="10"/>
      <c r="B162" s="9"/>
      <c r="C162" s="10"/>
      <c r="D162" s="10"/>
      <c r="E162" s="10"/>
    </row>
    <row r="163" ht="22.5" customHeight="1">
      <c r="A163" s="10"/>
      <c r="B163" s="9"/>
      <c r="C163" s="10"/>
      <c r="D163" s="10"/>
      <c r="E163" s="10"/>
    </row>
    <row r="164" ht="22.5" customHeight="1">
      <c r="A164" s="10"/>
      <c r="B164" s="9"/>
      <c r="C164" s="10"/>
      <c r="D164" s="10"/>
      <c r="E164" s="10"/>
    </row>
    <row r="165" ht="22.5" customHeight="1">
      <c r="A165" s="10"/>
      <c r="B165" s="9"/>
      <c r="C165" s="10"/>
      <c r="D165" s="10"/>
      <c r="E165" s="10"/>
    </row>
    <row r="166" ht="22.5" customHeight="1">
      <c r="A166" s="10"/>
      <c r="B166" s="9"/>
      <c r="C166" s="10"/>
      <c r="D166" s="10"/>
      <c r="E166" s="10"/>
    </row>
    <row r="167" ht="22.5" customHeight="1">
      <c r="A167" s="10"/>
      <c r="B167" s="9"/>
      <c r="C167" s="10"/>
      <c r="D167" s="10"/>
      <c r="E167" s="10"/>
    </row>
    <row r="168" ht="22.5" customHeight="1">
      <c r="A168" s="10"/>
      <c r="B168" s="9"/>
      <c r="C168" s="10"/>
      <c r="D168" s="10"/>
      <c r="E168" s="10"/>
    </row>
    <row r="169" ht="22.5" customHeight="1">
      <c r="A169" s="10"/>
      <c r="B169" s="9"/>
      <c r="C169" s="10"/>
      <c r="D169" s="10"/>
      <c r="E169" s="10"/>
    </row>
    <row r="170" ht="22.5" customHeight="1">
      <c r="A170" s="10"/>
      <c r="B170" s="9"/>
      <c r="C170" s="10"/>
      <c r="D170" s="10"/>
      <c r="E170" s="10"/>
    </row>
    <row r="171" ht="22.5" customHeight="1">
      <c r="A171" s="10"/>
      <c r="B171" s="9"/>
      <c r="C171" s="10"/>
      <c r="D171" s="10"/>
      <c r="E171" s="10"/>
    </row>
    <row r="172" ht="22.5" customHeight="1">
      <c r="A172" s="10"/>
      <c r="B172" s="9"/>
      <c r="C172" s="10"/>
      <c r="D172" s="10"/>
      <c r="E172" s="10"/>
    </row>
    <row r="173" ht="22.5" customHeight="1">
      <c r="A173" s="10"/>
      <c r="B173" s="9"/>
      <c r="C173" s="10"/>
      <c r="D173" s="10"/>
      <c r="E173" s="10"/>
    </row>
    <row r="174" ht="22.5" customHeight="1">
      <c r="A174" s="10"/>
      <c r="B174" s="9"/>
      <c r="C174" s="10"/>
      <c r="D174" s="10"/>
      <c r="E174" s="10"/>
    </row>
    <row r="175" ht="22.5" customHeight="1">
      <c r="A175" s="10"/>
      <c r="B175" s="9"/>
      <c r="C175" s="10"/>
      <c r="D175" s="10"/>
      <c r="E175" s="10"/>
    </row>
    <row r="176" ht="22.5" customHeight="1">
      <c r="A176" s="10"/>
      <c r="B176" s="9"/>
      <c r="C176" s="10"/>
      <c r="D176" s="10"/>
      <c r="E176" s="10"/>
    </row>
    <row r="177" ht="22.5" customHeight="1">
      <c r="A177" s="10"/>
      <c r="B177" s="9"/>
      <c r="C177" s="10"/>
      <c r="D177" s="10"/>
      <c r="E177" s="10"/>
    </row>
    <row r="178" ht="22.5" customHeight="1">
      <c r="A178" s="10"/>
      <c r="B178" s="9"/>
      <c r="C178" s="10"/>
      <c r="D178" s="10"/>
      <c r="E178" s="10"/>
    </row>
    <row r="179" ht="22.5" customHeight="1">
      <c r="A179" s="10"/>
      <c r="B179" s="9"/>
      <c r="C179" s="10"/>
      <c r="D179" s="10"/>
      <c r="E179" s="10"/>
    </row>
    <row r="180" ht="22.5" customHeight="1">
      <c r="A180" s="10"/>
      <c r="B180" s="9"/>
      <c r="C180" s="10"/>
      <c r="D180" s="10"/>
      <c r="E180" s="10"/>
    </row>
    <row r="181" ht="22.5" customHeight="1">
      <c r="A181" s="10"/>
      <c r="B181" s="9"/>
      <c r="C181" s="10"/>
      <c r="D181" s="10"/>
      <c r="E181" s="10"/>
    </row>
    <row r="182" ht="22.5" customHeight="1">
      <c r="A182" s="10"/>
      <c r="B182" s="9"/>
      <c r="C182" s="10"/>
      <c r="D182" s="10"/>
      <c r="E182" s="10"/>
    </row>
    <row r="183" ht="22.5" customHeight="1">
      <c r="A183" s="10"/>
      <c r="B183" s="9"/>
      <c r="C183" s="10"/>
      <c r="D183" s="10"/>
      <c r="E183" s="10"/>
    </row>
    <row r="184" ht="22.5" customHeight="1">
      <c r="A184" s="10"/>
      <c r="B184" s="9"/>
      <c r="C184" s="10"/>
      <c r="D184" s="10"/>
      <c r="E184" s="10"/>
    </row>
    <row r="185" ht="22.5" customHeight="1">
      <c r="A185" s="10"/>
      <c r="B185" s="9"/>
      <c r="C185" s="10"/>
      <c r="D185" s="10"/>
      <c r="E185" s="10"/>
    </row>
    <row r="186" ht="22.5" customHeight="1">
      <c r="A186" s="10"/>
      <c r="B186" s="9"/>
      <c r="C186" s="10"/>
      <c r="D186" s="10"/>
      <c r="E186" s="10"/>
    </row>
    <row r="187" ht="22.5" customHeight="1">
      <c r="A187" s="10"/>
      <c r="B187" s="9"/>
      <c r="C187" s="10"/>
      <c r="D187" s="10"/>
      <c r="E187" s="10"/>
    </row>
    <row r="188" ht="22.5" customHeight="1">
      <c r="A188" s="10"/>
      <c r="B188" s="9"/>
      <c r="C188" s="10"/>
      <c r="D188" s="10"/>
      <c r="E188" s="10"/>
    </row>
    <row r="189" ht="22.5" customHeight="1">
      <c r="A189" s="10"/>
      <c r="B189" s="9"/>
      <c r="C189" s="10"/>
      <c r="D189" s="10"/>
      <c r="E189" s="10"/>
    </row>
    <row r="190" ht="22.5" customHeight="1">
      <c r="A190" s="10"/>
      <c r="B190" s="9"/>
      <c r="C190" s="10"/>
      <c r="D190" s="10"/>
      <c r="E190" s="10"/>
    </row>
    <row r="191" ht="22.5" customHeight="1">
      <c r="A191" s="10"/>
      <c r="B191" s="9"/>
      <c r="C191" s="10"/>
      <c r="D191" s="10"/>
      <c r="E191" s="10"/>
    </row>
    <row r="192" ht="22.5" customHeight="1">
      <c r="A192" s="10"/>
      <c r="B192" s="9"/>
      <c r="C192" s="10"/>
      <c r="D192" s="10"/>
      <c r="E192" s="10"/>
    </row>
    <row r="193" ht="22.5" customHeight="1">
      <c r="A193" s="10"/>
      <c r="B193" s="9"/>
      <c r="C193" s="10"/>
      <c r="D193" s="10"/>
      <c r="E193" s="10"/>
    </row>
    <row r="194" ht="22.5" customHeight="1">
      <c r="A194" s="10"/>
      <c r="B194" s="9"/>
      <c r="C194" s="10"/>
      <c r="D194" s="10"/>
      <c r="E194" s="10"/>
    </row>
    <row r="195" ht="22.5" customHeight="1">
      <c r="A195" s="10"/>
      <c r="B195" s="9"/>
      <c r="C195" s="10"/>
      <c r="D195" s="10"/>
      <c r="E195" s="10"/>
    </row>
    <row r="196" ht="22.5" customHeight="1">
      <c r="A196" s="10"/>
      <c r="B196" s="9"/>
      <c r="C196" s="10"/>
      <c r="D196" s="10"/>
      <c r="E196" s="10"/>
    </row>
    <row r="197" ht="22.5" customHeight="1">
      <c r="A197" s="10"/>
      <c r="B197" s="9"/>
      <c r="C197" s="10"/>
      <c r="D197" s="10"/>
      <c r="E197" s="10"/>
    </row>
    <row r="198" ht="22.5" customHeight="1">
      <c r="A198" s="10"/>
      <c r="B198" s="9"/>
      <c r="C198" s="10"/>
      <c r="D198" s="10"/>
      <c r="E198" s="10"/>
    </row>
    <row r="199" ht="22.5" customHeight="1">
      <c r="A199" s="10"/>
      <c r="B199" s="9"/>
      <c r="C199" s="10"/>
      <c r="D199" s="10"/>
      <c r="E199" s="10"/>
    </row>
    <row r="200" ht="22.5" customHeight="1">
      <c r="A200" s="10"/>
      <c r="B200" s="9"/>
      <c r="C200" s="10"/>
      <c r="D200" s="10"/>
      <c r="E200" s="10"/>
    </row>
    <row r="201" ht="22.5" customHeight="1">
      <c r="A201" s="10"/>
      <c r="B201" s="9"/>
      <c r="C201" s="10"/>
      <c r="D201" s="10"/>
      <c r="E201" s="10"/>
    </row>
    <row r="202" ht="22.5" customHeight="1">
      <c r="A202" s="10"/>
      <c r="B202" s="9"/>
      <c r="C202" s="10"/>
      <c r="D202" s="10"/>
      <c r="E202" s="10"/>
    </row>
    <row r="203" ht="22.5" customHeight="1">
      <c r="A203" s="10"/>
      <c r="B203" s="9"/>
      <c r="C203" s="10"/>
      <c r="D203" s="10"/>
      <c r="E203" s="10"/>
    </row>
    <row r="204" ht="22.5" customHeight="1">
      <c r="A204" s="10"/>
      <c r="B204" s="9"/>
      <c r="C204" s="10"/>
      <c r="D204" s="10"/>
      <c r="E204" s="10"/>
    </row>
    <row r="205" ht="22.5" customHeight="1">
      <c r="A205" s="10"/>
      <c r="B205" s="9"/>
      <c r="C205" s="10"/>
      <c r="D205" s="10"/>
      <c r="E205" s="10"/>
    </row>
    <row r="206" ht="22.5" customHeight="1">
      <c r="A206" s="10"/>
      <c r="B206" s="9"/>
      <c r="C206" s="10"/>
      <c r="D206" s="10"/>
      <c r="E206" s="10"/>
    </row>
    <row r="207" ht="22.5" customHeight="1">
      <c r="A207" s="10"/>
      <c r="B207" s="9"/>
      <c r="C207" s="10"/>
      <c r="D207" s="10"/>
      <c r="E207" s="10"/>
    </row>
    <row r="208" ht="22.5" customHeight="1">
      <c r="A208" s="10"/>
      <c r="B208" s="9"/>
      <c r="C208" s="10"/>
      <c r="D208" s="10"/>
      <c r="E208" s="10"/>
    </row>
    <row r="209" ht="22.5" customHeight="1">
      <c r="A209" s="10"/>
      <c r="B209" s="9"/>
      <c r="C209" s="10"/>
      <c r="D209" s="10"/>
      <c r="E209" s="10"/>
    </row>
    <row r="210" ht="22.5" customHeight="1">
      <c r="A210" s="10"/>
      <c r="B210" s="9"/>
      <c r="C210" s="10"/>
      <c r="D210" s="10"/>
      <c r="E210" s="10"/>
    </row>
    <row r="211" ht="22.5" customHeight="1">
      <c r="A211" s="10"/>
      <c r="B211" s="9"/>
      <c r="C211" s="10"/>
      <c r="D211" s="10"/>
      <c r="E211" s="10"/>
    </row>
    <row r="212" ht="22.5" customHeight="1">
      <c r="A212" s="10"/>
      <c r="B212" s="9"/>
      <c r="C212" s="10"/>
      <c r="D212" s="10"/>
      <c r="E212" s="10"/>
    </row>
    <row r="213" ht="22.5" customHeight="1">
      <c r="A213" s="10"/>
      <c r="B213" s="9"/>
      <c r="C213" s="10"/>
      <c r="D213" s="10"/>
      <c r="E213" s="10"/>
    </row>
    <row r="214" ht="22.5" customHeight="1">
      <c r="A214" s="10"/>
      <c r="B214" s="9"/>
      <c r="C214" s="10"/>
      <c r="D214" s="10"/>
      <c r="E214" s="10"/>
    </row>
    <row r="215" ht="22.5" customHeight="1">
      <c r="A215" s="10"/>
      <c r="B215" s="9"/>
      <c r="C215" s="10"/>
      <c r="D215" s="10"/>
      <c r="E215" s="10"/>
    </row>
    <row r="216" ht="22.5" customHeight="1">
      <c r="A216" s="10"/>
      <c r="B216" s="9"/>
      <c r="C216" s="10"/>
      <c r="D216" s="10"/>
      <c r="E216" s="10"/>
    </row>
    <row r="217" ht="22.5" customHeight="1">
      <c r="A217" s="10"/>
      <c r="B217" s="9"/>
      <c r="C217" s="10"/>
      <c r="D217" s="10"/>
      <c r="E217" s="10"/>
    </row>
    <row r="218" ht="22.5" customHeight="1">
      <c r="A218" s="10"/>
      <c r="B218" s="9"/>
      <c r="C218" s="10"/>
      <c r="D218" s="10"/>
      <c r="E218" s="10"/>
    </row>
    <row r="219" ht="22.5" customHeight="1">
      <c r="A219" s="10"/>
      <c r="B219" s="9"/>
      <c r="C219" s="10"/>
      <c r="D219" s="10"/>
      <c r="E219" s="10"/>
    </row>
    <row r="220" ht="22.5" customHeight="1">
      <c r="A220" s="10"/>
      <c r="B220" s="9"/>
      <c r="C220" s="10"/>
      <c r="D220" s="10"/>
      <c r="E220" s="10"/>
    </row>
    <row r="221" ht="22.5" customHeight="1">
      <c r="A221" s="10"/>
      <c r="B221" s="9"/>
      <c r="C221" s="10"/>
      <c r="D221" s="10"/>
      <c r="E221" s="10"/>
    </row>
    <row r="222" ht="22.5" customHeight="1">
      <c r="A222" s="10"/>
      <c r="B222" s="9"/>
      <c r="C222" s="10"/>
      <c r="D222" s="10"/>
      <c r="E222" s="10"/>
    </row>
    <row r="223" ht="22.5" customHeight="1">
      <c r="A223" s="10"/>
      <c r="B223" s="9"/>
      <c r="C223" s="10"/>
      <c r="D223" s="10"/>
      <c r="E223" s="10"/>
    </row>
    <row r="224" ht="22.5" customHeight="1">
      <c r="A224" s="10"/>
      <c r="B224" s="9"/>
      <c r="C224" s="10"/>
      <c r="D224" s="10"/>
      <c r="E224" s="10"/>
    </row>
    <row r="225" ht="22.5" customHeight="1">
      <c r="A225" s="10"/>
      <c r="B225" s="9"/>
      <c r="C225" s="10"/>
      <c r="D225" s="10"/>
      <c r="E225" s="10"/>
    </row>
    <row r="226" ht="22.5" customHeight="1">
      <c r="A226" s="10"/>
      <c r="B226" s="9"/>
      <c r="C226" s="10"/>
      <c r="D226" s="10"/>
      <c r="E226" s="10"/>
    </row>
    <row r="227" ht="22.5" customHeight="1">
      <c r="A227" s="10"/>
      <c r="B227" s="9"/>
      <c r="C227" s="10"/>
      <c r="D227" s="10"/>
      <c r="E227" s="10"/>
    </row>
    <row r="228" ht="22.5" customHeight="1">
      <c r="A228" s="10"/>
      <c r="B228" s="9"/>
      <c r="C228" s="10"/>
      <c r="D228" s="10"/>
      <c r="E228" s="10"/>
    </row>
    <row r="229" ht="22.5" customHeight="1">
      <c r="A229" s="10"/>
      <c r="B229" s="9"/>
      <c r="C229" s="10"/>
      <c r="D229" s="10"/>
      <c r="E229" s="10"/>
    </row>
    <row r="230" ht="22.5" customHeight="1">
      <c r="A230" s="10"/>
      <c r="B230" s="9"/>
      <c r="C230" s="10"/>
      <c r="D230" s="10"/>
      <c r="E230" s="10"/>
    </row>
    <row r="231" ht="22.5" customHeight="1">
      <c r="A231" s="10"/>
      <c r="B231" s="9"/>
      <c r="C231" s="10"/>
      <c r="D231" s="10"/>
      <c r="E231" s="10"/>
    </row>
    <row r="232" ht="22.5" customHeight="1">
      <c r="A232" s="10"/>
      <c r="B232" s="9"/>
      <c r="C232" s="10"/>
      <c r="D232" s="10"/>
      <c r="E232" s="10"/>
    </row>
    <row r="233" ht="22.5" customHeight="1">
      <c r="A233" s="10"/>
      <c r="B233" s="9"/>
      <c r="C233" s="10"/>
      <c r="D233" s="10"/>
      <c r="E233" s="10"/>
    </row>
    <row r="234" ht="22.5" customHeight="1">
      <c r="A234" s="10"/>
      <c r="B234" s="9"/>
      <c r="C234" s="10"/>
      <c r="D234" s="10"/>
      <c r="E234" s="10"/>
    </row>
    <row r="235" ht="22.5" customHeight="1">
      <c r="A235" s="10"/>
      <c r="B235" s="9"/>
      <c r="C235" s="10"/>
      <c r="D235" s="10"/>
      <c r="E235" s="10"/>
    </row>
    <row r="236" ht="22.5" customHeight="1">
      <c r="A236" s="10"/>
      <c r="B236" s="9"/>
      <c r="C236" s="10"/>
      <c r="D236" s="10"/>
      <c r="E236" s="10"/>
    </row>
    <row r="237" ht="22.5" customHeight="1">
      <c r="A237" s="10"/>
      <c r="B237" s="9"/>
      <c r="C237" s="10"/>
      <c r="D237" s="10"/>
      <c r="E237" s="10"/>
    </row>
    <row r="238" ht="22.5" customHeight="1">
      <c r="A238" s="10"/>
      <c r="B238" s="9"/>
      <c r="C238" s="10"/>
      <c r="D238" s="10"/>
      <c r="E238" s="10"/>
    </row>
    <row r="239" ht="22.5" customHeight="1">
      <c r="A239" s="10"/>
      <c r="B239" s="9"/>
      <c r="C239" s="10"/>
      <c r="D239" s="10"/>
      <c r="E239" s="10"/>
    </row>
    <row r="240" ht="22.5" customHeight="1">
      <c r="A240" s="10"/>
      <c r="B240" s="9"/>
      <c r="C240" s="10"/>
      <c r="D240" s="10"/>
      <c r="E240" s="10"/>
    </row>
    <row r="241" ht="22.5" customHeight="1">
      <c r="A241" s="10"/>
      <c r="B241" s="9"/>
      <c r="C241" s="10"/>
      <c r="D241" s="10"/>
      <c r="E241" s="10"/>
    </row>
    <row r="242" ht="22.5" customHeight="1">
      <c r="A242" s="10"/>
      <c r="B242" s="9"/>
      <c r="C242" s="10"/>
      <c r="D242" s="10"/>
      <c r="E242" s="10"/>
    </row>
    <row r="243" ht="22.5" customHeight="1">
      <c r="A243" s="10"/>
      <c r="B243" s="9"/>
      <c r="C243" s="10"/>
      <c r="D243" s="10"/>
      <c r="E243" s="10"/>
    </row>
    <row r="244" ht="22.5" customHeight="1">
      <c r="A244" s="10"/>
      <c r="B244" s="9"/>
      <c r="C244" s="10"/>
      <c r="D244" s="10"/>
      <c r="E244" s="10"/>
    </row>
    <row r="245" ht="22.5" customHeight="1">
      <c r="A245" s="10"/>
      <c r="B245" s="9"/>
      <c r="C245" s="10"/>
      <c r="D245" s="10"/>
      <c r="E245" s="10"/>
    </row>
    <row r="246" ht="22.5" customHeight="1">
      <c r="A246" s="10"/>
      <c r="B246" s="9"/>
      <c r="C246" s="10"/>
      <c r="D246" s="10"/>
      <c r="E246" s="10"/>
    </row>
    <row r="247" ht="22.5" customHeight="1">
      <c r="A247" s="10"/>
      <c r="B247" s="9"/>
      <c r="C247" s="10"/>
      <c r="D247" s="10"/>
      <c r="E247" s="10"/>
    </row>
    <row r="248" ht="22.5" customHeight="1">
      <c r="A248" s="10"/>
      <c r="B248" s="9"/>
      <c r="C248" s="10"/>
      <c r="D248" s="10"/>
      <c r="E248" s="10"/>
    </row>
    <row r="249" ht="22.5" customHeight="1">
      <c r="A249" s="10"/>
      <c r="B249" s="9"/>
      <c r="C249" s="10"/>
      <c r="D249" s="10"/>
      <c r="E249" s="10"/>
    </row>
    <row r="250" ht="22.5" customHeight="1">
      <c r="A250" s="10"/>
      <c r="B250" s="9"/>
      <c r="C250" s="10"/>
      <c r="D250" s="10"/>
      <c r="E250" s="10"/>
    </row>
    <row r="251" ht="22.5" customHeight="1">
      <c r="A251" s="10"/>
      <c r="B251" s="9"/>
      <c r="C251" s="10"/>
      <c r="D251" s="10"/>
      <c r="E251" s="10"/>
    </row>
    <row r="252" ht="22.5" customHeight="1">
      <c r="A252" s="10"/>
      <c r="B252" s="9"/>
      <c r="C252" s="10"/>
      <c r="D252" s="10"/>
      <c r="E252" s="10"/>
    </row>
    <row r="253" ht="22.5" customHeight="1">
      <c r="A253" s="10"/>
      <c r="B253" s="9"/>
      <c r="C253" s="10"/>
      <c r="D253" s="10"/>
      <c r="E253" s="10"/>
    </row>
    <row r="254" ht="22.5" customHeight="1">
      <c r="A254" s="10"/>
      <c r="B254" s="9"/>
      <c r="C254" s="10"/>
      <c r="D254" s="10"/>
      <c r="E254" s="10"/>
    </row>
    <row r="255" ht="22.5" customHeight="1">
      <c r="A255" s="10"/>
      <c r="B255" s="9"/>
      <c r="C255" s="10"/>
      <c r="D255" s="10"/>
      <c r="E255" s="10"/>
    </row>
    <row r="256" ht="22.5" customHeight="1">
      <c r="A256" s="10"/>
      <c r="B256" s="9"/>
      <c r="C256" s="10"/>
      <c r="D256" s="10"/>
      <c r="E256" s="10"/>
    </row>
    <row r="257" ht="22.5" customHeight="1">
      <c r="A257" s="10"/>
      <c r="B257" s="9"/>
      <c r="C257" s="10"/>
      <c r="D257" s="10"/>
      <c r="E257" s="10"/>
    </row>
    <row r="258" ht="22.5" customHeight="1">
      <c r="A258" s="10"/>
      <c r="B258" s="9"/>
      <c r="C258" s="10"/>
      <c r="D258" s="10"/>
      <c r="E258" s="10"/>
    </row>
    <row r="259" ht="22.5" customHeight="1">
      <c r="A259" s="10"/>
      <c r="B259" s="9"/>
      <c r="C259" s="10"/>
      <c r="D259" s="10"/>
      <c r="E259" s="10"/>
    </row>
    <row r="260" ht="22.5" customHeight="1">
      <c r="A260" s="10"/>
      <c r="B260" s="9"/>
      <c r="C260" s="10"/>
      <c r="D260" s="10"/>
      <c r="E260" s="10"/>
    </row>
    <row r="261" ht="22.5" customHeight="1">
      <c r="A261" s="10"/>
      <c r="B261" s="9"/>
      <c r="C261" s="10"/>
      <c r="D261" s="10"/>
      <c r="E261" s="10"/>
    </row>
    <row r="262" ht="22.5" customHeight="1">
      <c r="A262" s="10"/>
      <c r="B262" s="9"/>
      <c r="C262" s="10"/>
      <c r="D262" s="10"/>
      <c r="E262" s="10"/>
    </row>
    <row r="263" ht="22.5" customHeight="1">
      <c r="A263" s="10"/>
      <c r="B263" s="9"/>
      <c r="C263" s="10"/>
      <c r="D263" s="10"/>
      <c r="E263" s="10"/>
    </row>
    <row r="264" ht="22.5" customHeight="1">
      <c r="A264" s="10"/>
      <c r="B264" s="9"/>
      <c r="C264" s="10"/>
      <c r="D264" s="10"/>
      <c r="E264" s="10"/>
    </row>
    <row r="265" ht="22.5" customHeight="1">
      <c r="A265" s="10"/>
      <c r="B265" s="9"/>
      <c r="C265" s="10"/>
      <c r="D265" s="10"/>
      <c r="E265" s="10"/>
    </row>
    <row r="266" ht="22.5" customHeight="1">
      <c r="A266" s="10"/>
      <c r="B266" s="9"/>
      <c r="C266" s="10"/>
      <c r="D266" s="10"/>
      <c r="E266" s="10"/>
    </row>
    <row r="267" ht="22.5" customHeight="1">
      <c r="A267" s="10"/>
      <c r="B267" s="9"/>
      <c r="C267" s="10"/>
      <c r="D267" s="10"/>
      <c r="E267" s="10"/>
    </row>
    <row r="268" ht="22.5" customHeight="1">
      <c r="A268" s="10"/>
      <c r="B268" s="9"/>
      <c r="C268" s="10"/>
      <c r="D268" s="10"/>
      <c r="E268" s="10"/>
    </row>
    <row r="269" ht="22.5" customHeight="1">
      <c r="A269" s="10"/>
      <c r="B269" s="9"/>
      <c r="C269" s="10"/>
      <c r="D269" s="10"/>
      <c r="E269" s="10"/>
    </row>
    <row r="270" ht="22.5" customHeight="1">
      <c r="A270" s="10"/>
      <c r="B270" s="9"/>
      <c r="C270" s="10"/>
      <c r="D270" s="10"/>
      <c r="E270" s="10"/>
    </row>
    <row r="271" ht="22.5" customHeight="1">
      <c r="A271" s="10"/>
      <c r="B271" s="9"/>
      <c r="C271" s="10"/>
      <c r="D271" s="10"/>
      <c r="E271" s="10"/>
    </row>
    <row r="272" ht="22.5" customHeight="1">
      <c r="A272" s="10"/>
      <c r="B272" s="9"/>
      <c r="C272" s="10"/>
      <c r="D272" s="10"/>
      <c r="E272" s="10"/>
    </row>
    <row r="273" ht="22.5" customHeight="1">
      <c r="A273" s="10"/>
      <c r="B273" s="9"/>
      <c r="C273" s="10"/>
      <c r="D273" s="10"/>
      <c r="E273" s="10"/>
    </row>
    <row r="274" ht="22.5" customHeight="1">
      <c r="A274" s="10"/>
      <c r="B274" s="9"/>
      <c r="C274" s="10"/>
      <c r="D274" s="10"/>
      <c r="E274" s="10"/>
    </row>
    <row r="275" ht="22.5" customHeight="1">
      <c r="A275" s="10"/>
      <c r="B275" s="9"/>
      <c r="C275" s="10"/>
      <c r="D275" s="10"/>
      <c r="E275" s="10"/>
    </row>
    <row r="276" ht="22.5" customHeight="1">
      <c r="A276" s="10"/>
      <c r="B276" s="9"/>
      <c r="C276" s="10"/>
      <c r="D276" s="10"/>
      <c r="E276" s="10"/>
    </row>
    <row r="277" ht="22.5" customHeight="1">
      <c r="A277" s="10"/>
      <c r="B277" s="9"/>
      <c r="C277" s="10"/>
      <c r="D277" s="10"/>
      <c r="E277" s="10"/>
    </row>
    <row r="278" ht="22.5" customHeight="1">
      <c r="A278" s="10"/>
      <c r="B278" s="9"/>
      <c r="C278" s="10"/>
      <c r="D278" s="10"/>
      <c r="E278" s="10"/>
    </row>
    <row r="279" ht="22.5" customHeight="1">
      <c r="A279" s="10"/>
      <c r="B279" s="9"/>
      <c r="C279" s="10"/>
      <c r="D279" s="10"/>
      <c r="E279" s="10"/>
    </row>
    <row r="280" ht="22.5" customHeight="1">
      <c r="A280" s="10"/>
      <c r="B280" s="9"/>
      <c r="C280" s="10"/>
      <c r="D280" s="10"/>
      <c r="E280" s="10"/>
    </row>
    <row r="281" ht="22.5" customHeight="1">
      <c r="A281" s="10"/>
      <c r="B281" s="9"/>
      <c r="C281" s="10"/>
      <c r="D281" s="10"/>
      <c r="E281" s="10"/>
    </row>
    <row r="282" ht="22.5" customHeight="1">
      <c r="A282" s="10"/>
      <c r="B282" s="9"/>
      <c r="C282" s="10"/>
      <c r="D282" s="10"/>
      <c r="E282" s="10"/>
    </row>
    <row r="283" ht="22.5" customHeight="1">
      <c r="A283" s="10"/>
      <c r="B283" s="9"/>
      <c r="C283" s="10"/>
      <c r="D283" s="10"/>
      <c r="E283" s="10"/>
    </row>
    <row r="284" ht="22.5" customHeight="1">
      <c r="A284" s="10"/>
      <c r="B284" s="9"/>
      <c r="C284" s="10"/>
      <c r="D284" s="10"/>
      <c r="E284" s="10"/>
    </row>
    <row r="285" ht="22.5" customHeight="1">
      <c r="A285" s="10"/>
      <c r="B285" s="9"/>
      <c r="C285" s="10"/>
      <c r="D285" s="10"/>
      <c r="E285" s="10"/>
    </row>
    <row r="286" ht="22.5" customHeight="1">
      <c r="A286" s="10"/>
      <c r="B286" s="9"/>
      <c r="C286" s="10"/>
      <c r="D286" s="10"/>
      <c r="E286" s="10"/>
    </row>
    <row r="287" ht="22.5" customHeight="1">
      <c r="A287" s="10"/>
      <c r="B287" s="9"/>
      <c r="C287" s="10"/>
      <c r="D287" s="10"/>
      <c r="E287" s="10"/>
    </row>
    <row r="288" ht="22.5" customHeight="1">
      <c r="A288" s="10"/>
      <c r="B288" s="9"/>
      <c r="C288" s="10"/>
      <c r="D288" s="10"/>
      <c r="E288" s="10"/>
    </row>
    <row r="289" ht="22.5" customHeight="1">
      <c r="A289" s="10"/>
      <c r="B289" s="9"/>
      <c r="C289" s="10"/>
      <c r="D289" s="10"/>
      <c r="E289" s="10"/>
    </row>
    <row r="290" ht="22.5" customHeight="1">
      <c r="A290" s="10"/>
      <c r="B290" s="9"/>
      <c r="C290" s="10"/>
      <c r="D290" s="10"/>
      <c r="E290" s="10"/>
    </row>
    <row r="291" ht="22.5" customHeight="1">
      <c r="A291" s="10"/>
      <c r="B291" s="9"/>
      <c r="C291" s="10"/>
      <c r="D291" s="10"/>
      <c r="E291" s="10"/>
    </row>
    <row r="292" ht="22.5" customHeight="1">
      <c r="A292" s="10"/>
      <c r="B292" s="9"/>
      <c r="C292" s="10"/>
      <c r="D292" s="10"/>
      <c r="E292" s="10"/>
    </row>
    <row r="293" ht="22.5" customHeight="1">
      <c r="A293" s="10"/>
      <c r="B293" s="9"/>
      <c r="C293" s="10"/>
      <c r="D293" s="10"/>
      <c r="E293" s="10"/>
    </row>
    <row r="294" ht="22.5" customHeight="1">
      <c r="A294" s="10"/>
      <c r="B294" s="9"/>
      <c r="C294" s="10"/>
      <c r="D294" s="10"/>
      <c r="E294" s="10"/>
    </row>
    <row r="295" ht="22.5" customHeight="1">
      <c r="A295" s="10"/>
      <c r="B295" s="9"/>
      <c r="C295" s="10"/>
      <c r="D295" s="10"/>
      <c r="E295" s="10"/>
    </row>
    <row r="296" ht="22.5" customHeight="1">
      <c r="A296" s="10"/>
      <c r="B296" s="9"/>
      <c r="C296" s="10"/>
      <c r="D296" s="10"/>
      <c r="E296" s="10"/>
    </row>
    <row r="297" ht="22.5" customHeight="1">
      <c r="A297" s="10"/>
      <c r="B297" s="9"/>
      <c r="C297" s="10"/>
      <c r="D297" s="10"/>
      <c r="E297" s="10"/>
    </row>
    <row r="298" ht="22.5" customHeight="1">
      <c r="A298" s="10"/>
      <c r="B298" s="9"/>
      <c r="C298" s="10"/>
      <c r="D298" s="10"/>
      <c r="E298" s="10"/>
    </row>
    <row r="299" ht="22.5" customHeight="1">
      <c r="A299" s="10"/>
      <c r="B299" s="9"/>
      <c r="C299" s="10"/>
      <c r="D299" s="10"/>
      <c r="E299" s="10"/>
    </row>
    <row r="300" ht="22.5" customHeight="1">
      <c r="A300" s="10"/>
      <c r="B300" s="9"/>
      <c r="C300" s="10"/>
      <c r="D300" s="10"/>
      <c r="E300" s="10"/>
    </row>
    <row r="301" ht="22.5" customHeight="1">
      <c r="A301" s="10"/>
      <c r="B301" s="9"/>
      <c r="C301" s="10"/>
      <c r="D301" s="10"/>
      <c r="E301" s="10"/>
    </row>
    <row r="302" ht="22.5" customHeight="1">
      <c r="A302" s="10"/>
      <c r="B302" s="9"/>
      <c r="C302" s="10"/>
      <c r="D302" s="10"/>
      <c r="E302" s="10"/>
    </row>
    <row r="303" ht="22.5" customHeight="1">
      <c r="A303" s="10"/>
      <c r="B303" s="9"/>
      <c r="C303" s="10"/>
      <c r="D303" s="10"/>
      <c r="E303" s="10"/>
    </row>
    <row r="304" ht="22.5" customHeight="1">
      <c r="A304" s="10"/>
      <c r="B304" s="9"/>
      <c r="C304" s="10"/>
      <c r="D304" s="10"/>
      <c r="E304" s="10"/>
    </row>
    <row r="305" ht="22.5" customHeight="1">
      <c r="A305" s="10"/>
      <c r="B305" s="9"/>
      <c r="C305" s="10"/>
      <c r="D305" s="10"/>
      <c r="E305" s="10"/>
    </row>
    <row r="306" ht="22.5" customHeight="1">
      <c r="A306" s="10"/>
      <c r="B306" s="9"/>
      <c r="C306" s="10"/>
      <c r="D306" s="10"/>
      <c r="E306" s="10"/>
    </row>
    <row r="307" ht="22.5" customHeight="1">
      <c r="A307" s="10"/>
      <c r="B307" s="9"/>
      <c r="C307" s="10"/>
      <c r="D307" s="10"/>
      <c r="E307" s="10"/>
    </row>
    <row r="308" ht="22.5" customHeight="1">
      <c r="A308" s="10"/>
      <c r="B308" s="9"/>
      <c r="C308" s="10"/>
      <c r="D308" s="10"/>
      <c r="E308" s="10"/>
    </row>
    <row r="309" ht="22.5" customHeight="1">
      <c r="A309" s="10"/>
      <c r="B309" s="9"/>
      <c r="C309" s="10"/>
      <c r="D309" s="10"/>
      <c r="E309" s="10"/>
    </row>
    <row r="310" ht="22.5" customHeight="1">
      <c r="A310" s="10"/>
      <c r="B310" s="9"/>
      <c r="C310" s="10"/>
      <c r="D310" s="10"/>
      <c r="E310" s="10"/>
    </row>
    <row r="311" ht="22.5" customHeight="1">
      <c r="A311" s="10"/>
      <c r="B311" s="9"/>
      <c r="C311" s="10"/>
      <c r="D311" s="10"/>
      <c r="E311" s="10"/>
    </row>
    <row r="312" ht="22.5" customHeight="1">
      <c r="A312" s="10"/>
      <c r="B312" s="9"/>
      <c r="C312" s="10"/>
      <c r="D312" s="10"/>
      <c r="E312" s="10"/>
    </row>
    <row r="313" ht="22.5" customHeight="1">
      <c r="A313" s="10"/>
      <c r="B313" s="9"/>
      <c r="C313" s="10"/>
      <c r="D313" s="10"/>
      <c r="E313" s="10"/>
    </row>
    <row r="314" ht="22.5" customHeight="1">
      <c r="A314" s="10"/>
      <c r="B314" s="9"/>
      <c r="C314" s="10"/>
      <c r="D314" s="10"/>
      <c r="E314" s="10"/>
    </row>
    <row r="315" ht="22.5" customHeight="1">
      <c r="A315" s="10"/>
      <c r="B315" s="9"/>
      <c r="C315" s="10"/>
      <c r="D315" s="10"/>
      <c r="E315" s="10"/>
    </row>
    <row r="316" ht="22.5" customHeight="1">
      <c r="A316" s="10"/>
      <c r="B316" s="9"/>
      <c r="C316" s="10"/>
      <c r="D316" s="10"/>
      <c r="E316" s="10"/>
    </row>
    <row r="317" ht="22.5" customHeight="1">
      <c r="A317" s="10"/>
      <c r="B317" s="9"/>
      <c r="C317" s="10"/>
      <c r="D317" s="10"/>
      <c r="E317" s="10"/>
    </row>
    <row r="318" ht="22.5" customHeight="1">
      <c r="A318" s="10"/>
      <c r="B318" s="9"/>
      <c r="C318" s="10"/>
      <c r="D318" s="10"/>
      <c r="E318" s="10"/>
    </row>
    <row r="319" ht="22.5" customHeight="1">
      <c r="A319" s="10"/>
      <c r="B319" s="9"/>
      <c r="C319" s="10"/>
      <c r="D319" s="10"/>
      <c r="E319" s="10"/>
    </row>
    <row r="320" ht="22.5" customHeight="1">
      <c r="A320" s="10"/>
      <c r="B320" s="9"/>
      <c r="C320" s="10"/>
      <c r="D320" s="10"/>
      <c r="E320" s="10"/>
    </row>
    <row r="321" ht="22.5" customHeight="1">
      <c r="A321" s="10"/>
      <c r="B321" s="9"/>
      <c r="C321" s="10"/>
      <c r="D321" s="10"/>
      <c r="E321" s="10"/>
    </row>
    <row r="322" ht="22.5" customHeight="1">
      <c r="A322" s="10"/>
      <c r="B322" s="9"/>
      <c r="C322" s="10"/>
      <c r="D322" s="10"/>
      <c r="E322" s="10"/>
    </row>
    <row r="323" ht="22.5" customHeight="1">
      <c r="A323" s="10"/>
      <c r="B323" s="9"/>
      <c r="C323" s="10"/>
      <c r="D323" s="10"/>
      <c r="E323" s="10"/>
    </row>
    <row r="324" ht="22.5" customHeight="1">
      <c r="A324" s="10"/>
      <c r="B324" s="9"/>
      <c r="C324" s="10"/>
      <c r="D324" s="10"/>
      <c r="E324" s="10"/>
    </row>
    <row r="325" ht="22.5" customHeight="1">
      <c r="A325" s="10"/>
      <c r="B325" s="9"/>
      <c r="C325" s="10"/>
      <c r="D325" s="10"/>
      <c r="E325" s="10"/>
    </row>
    <row r="326" ht="22.5" customHeight="1">
      <c r="A326" s="10"/>
      <c r="B326" s="9"/>
      <c r="C326" s="10"/>
      <c r="D326" s="10"/>
      <c r="E326" s="10"/>
    </row>
    <row r="327" ht="22.5" customHeight="1">
      <c r="A327" s="10"/>
      <c r="B327" s="9"/>
      <c r="C327" s="10"/>
      <c r="D327" s="10"/>
      <c r="E327" s="10"/>
    </row>
    <row r="328" ht="22.5" customHeight="1">
      <c r="A328" s="10"/>
      <c r="B328" s="9"/>
      <c r="C328" s="10"/>
      <c r="D328" s="10"/>
      <c r="E328" s="10"/>
    </row>
    <row r="329" ht="22.5" customHeight="1">
      <c r="A329" s="10"/>
      <c r="B329" s="9"/>
      <c r="C329" s="10"/>
      <c r="D329" s="10"/>
      <c r="E329" s="10"/>
    </row>
    <row r="330" ht="22.5" customHeight="1">
      <c r="A330" s="10"/>
      <c r="B330" s="9"/>
      <c r="C330" s="10"/>
      <c r="D330" s="10"/>
      <c r="E330" s="10"/>
    </row>
    <row r="331" ht="22.5" customHeight="1">
      <c r="A331" s="10"/>
      <c r="B331" s="9"/>
      <c r="C331" s="10"/>
      <c r="D331" s="10"/>
      <c r="E331" s="10"/>
    </row>
    <row r="332" ht="22.5" customHeight="1">
      <c r="A332" s="10"/>
      <c r="B332" s="9"/>
      <c r="C332" s="10"/>
      <c r="D332" s="10"/>
      <c r="E332" s="10"/>
    </row>
    <row r="333" ht="22.5" customHeight="1">
      <c r="A333" s="10"/>
      <c r="B333" s="9"/>
      <c r="C333" s="10"/>
      <c r="D333" s="10"/>
      <c r="E333" s="10"/>
    </row>
    <row r="334" ht="22.5" customHeight="1">
      <c r="A334" s="10"/>
      <c r="B334" s="9"/>
      <c r="C334" s="10"/>
      <c r="D334" s="10"/>
      <c r="E334" s="10"/>
    </row>
    <row r="335" ht="22.5" customHeight="1">
      <c r="A335" s="10"/>
      <c r="B335" s="9"/>
      <c r="C335" s="10"/>
      <c r="D335" s="10"/>
      <c r="E335" s="10"/>
    </row>
    <row r="336" ht="22.5" customHeight="1">
      <c r="A336" s="10"/>
      <c r="B336" s="9"/>
      <c r="C336" s="10"/>
      <c r="D336" s="10"/>
      <c r="E336" s="10"/>
    </row>
    <row r="337" ht="22.5" customHeight="1">
      <c r="A337" s="10"/>
      <c r="B337" s="9"/>
      <c r="C337" s="10"/>
      <c r="D337" s="10"/>
      <c r="E337" s="10"/>
    </row>
    <row r="338" ht="22.5" customHeight="1">
      <c r="A338" s="10"/>
      <c r="B338" s="9"/>
      <c r="C338" s="10"/>
      <c r="D338" s="10"/>
      <c r="E338" s="10"/>
    </row>
    <row r="339" ht="22.5" customHeight="1">
      <c r="A339" s="10"/>
      <c r="B339" s="9"/>
      <c r="C339" s="10"/>
      <c r="D339" s="10"/>
      <c r="E339" s="10"/>
    </row>
    <row r="340" ht="22.5" customHeight="1">
      <c r="A340" s="10"/>
      <c r="B340" s="9"/>
      <c r="C340" s="10"/>
      <c r="D340" s="10"/>
      <c r="E340" s="10"/>
    </row>
    <row r="341" ht="22.5" customHeight="1">
      <c r="A341" s="10"/>
      <c r="B341" s="9"/>
      <c r="C341" s="10"/>
      <c r="D341" s="10"/>
      <c r="E341" s="10"/>
    </row>
    <row r="342" ht="22.5" customHeight="1">
      <c r="A342" s="10"/>
      <c r="B342" s="9"/>
      <c r="C342" s="10"/>
      <c r="D342" s="10"/>
      <c r="E342" s="10"/>
    </row>
    <row r="343" ht="22.5" customHeight="1">
      <c r="A343" s="10"/>
      <c r="B343" s="9"/>
      <c r="C343" s="10"/>
      <c r="D343" s="10"/>
      <c r="E343" s="10"/>
    </row>
    <row r="344" ht="22.5" customHeight="1">
      <c r="A344" s="10"/>
      <c r="B344" s="9"/>
      <c r="C344" s="10"/>
      <c r="D344" s="10"/>
      <c r="E344" s="10"/>
    </row>
    <row r="345" ht="22.5" customHeight="1">
      <c r="A345" s="10"/>
      <c r="B345" s="9"/>
      <c r="C345" s="10"/>
      <c r="D345" s="10"/>
      <c r="E345" s="10"/>
    </row>
    <row r="346" ht="22.5" customHeight="1">
      <c r="A346" s="10"/>
      <c r="B346" s="9"/>
      <c r="C346" s="10"/>
      <c r="D346" s="10"/>
      <c r="E346" s="10"/>
    </row>
    <row r="347" ht="22.5" customHeight="1">
      <c r="A347" s="10"/>
      <c r="B347" s="9"/>
      <c r="C347" s="10"/>
      <c r="D347" s="10"/>
      <c r="E347" s="10"/>
    </row>
    <row r="348" ht="22.5" customHeight="1">
      <c r="A348" s="10"/>
      <c r="B348" s="9"/>
      <c r="C348" s="10"/>
      <c r="D348" s="10"/>
      <c r="E348" s="10"/>
    </row>
    <row r="349" ht="22.5" customHeight="1">
      <c r="A349" s="10"/>
      <c r="B349" s="9"/>
      <c r="C349" s="10"/>
      <c r="D349" s="10"/>
      <c r="E349" s="10"/>
    </row>
    <row r="350" ht="22.5" customHeight="1">
      <c r="A350" s="10"/>
      <c r="B350" s="9"/>
      <c r="C350" s="10"/>
      <c r="D350" s="10"/>
      <c r="E350" s="10"/>
    </row>
    <row r="351" ht="22.5" customHeight="1">
      <c r="A351" s="10"/>
      <c r="B351" s="9"/>
      <c r="C351" s="10"/>
      <c r="D351" s="10"/>
      <c r="E351" s="10"/>
    </row>
    <row r="352" ht="22.5" customHeight="1">
      <c r="A352" s="10"/>
      <c r="B352" s="9"/>
      <c r="C352" s="10"/>
      <c r="D352" s="10"/>
      <c r="E352" s="10"/>
    </row>
    <row r="353" ht="22.5" customHeight="1">
      <c r="A353" s="10"/>
      <c r="B353" s="9"/>
      <c r="C353" s="10"/>
      <c r="D353" s="10"/>
      <c r="E353" s="10"/>
    </row>
    <row r="354" ht="22.5" customHeight="1">
      <c r="A354" s="10"/>
      <c r="B354" s="9"/>
      <c r="C354" s="10"/>
      <c r="D354" s="10"/>
      <c r="E354" s="10"/>
    </row>
    <row r="355" ht="22.5" customHeight="1">
      <c r="A355" s="10"/>
      <c r="B355" s="9"/>
      <c r="C355" s="10"/>
      <c r="D355" s="10"/>
      <c r="E355" s="10"/>
    </row>
    <row r="356" ht="22.5" customHeight="1">
      <c r="A356" s="10"/>
      <c r="B356" s="9"/>
      <c r="C356" s="10"/>
      <c r="D356" s="10"/>
      <c r="E356" s="10"/>
    </row>
    <row r="357" ht="22.5" customHeight="1">
      <c r="A357" s="10"/>
      <c r="B357" s="9"/>
      <c r="C357" s="10"/>
      <c r="D357" s="10"/>
      <c r="E357" s="10"/>
    </row>
    <row r="358" ht="22.5" customHeight="1">
      <c r="A358" s="10"/>
      <c r="B358" s="9"/>
      <c r="C358" s="10"/>
      <c r="D358" s="10"/>
      <c r="E358" s="10"/>
    </row>
    <row r="359" ht="22.5" customHeight="1">
      <c r="A359" s="10"/>
      <c r="B359" s="9"/>
      <c r="C359" s="10"/>
      <c r="D359" s="10"/>
      <c r="E359" s="10"/>
    </row>
    <row r="360" ht="22.5" customHeight="1">
      <c r="A360" s="10"/>
      <c r="B360" s="9"/>
      <c r="C360" s="10"/>
      <c r="D360" s="10"/>
      <c r="E360" s="10"/>
    </row>
    <row r="361" ht="22.5" customHeight="1">
      <c r="A361" s="10"/>
      <c r="B361" s="9"/>
      <c r="C361" s="10"/>
      <c r="D361" s="10"/>
      <c r="E361" s="10"/>
    </row>
    <row r="362" ht="22.5" customHeight="1">
      <c r="A362" s="10"/>
      <c r="B362" s="9"/>
      <c r="C362" s="10"/>
      <c r="D362" s="10"/>
      <c r="E362" s="10"/>
    </row>
    <row r="363" ht="22.5" customHeight="1">
      <c r="A363" s="10"/>
      <c r="B363" s="9"/>
      <c r="C363" s="10"/>
      <c r="D363" s="10"/>
      <c r="E363" s="10"/>
    </row>
    <row r="364" ht="22.5" customHeight="1">
      <c r="A364" s="10"/>
      <c r="B364" s="9"/>
      <c r="C364" s="10"/>
      <c r="D364" s="10"/>
      <c r="E364" s="10"/>
    </row>
    <row r="365" ht="22.5" customHeight="1">
      <c r="A365" s="10"/>
      <c r="B365" s="9"/>
      <c r="C365" s="10"/>
      <c r="D365" s="10"/>
      <c r="E365" s="10"/>
    </row>
    <row r="366" ht="22.5" customHeight="1">
      <c r="A366" s="10"/>
      <c r="B366" s="9"/>
      <c r="C366" s="10"/>
      <c r="D366" s="10"/>
      <c r="E366" s="10"/>
    </row>
    <row r="367" ht="22.5" customHeight="1">
      <c r="A367" s="10"/>
      <c r="B367" s="9"/>
      <c r="C367" s="10"/>
      <c r="D367" s="10"/>
      <c r="E367" s="10"/>
    </row>
    <row r="368" ht="22.5" customHeight="1">
      <c r="A368" s="10"/>
      <c r="B368" s="9"/>
      <c r="C368" s="10"/>
      <c r="D368" s="10"/>
      <c r="E368" s="10"/>
    </row>
    <row r="369" ht="22.5" customHeight="1">
      <c r="A369" s="10"/>
      <c r="B369" s="9"/>
      <c r="C369" s="10"/>
      <c r="D369" s="10"/>
      <c r="E369" s="10"/>
    </row>
    <row r="370" ht="22.5" customHeight="1">
      <c r="A370" s="10"/>
      <c r="B370" s="9"/>
      <c r="C370" s="10"/>
      <c r="D370" s="10"/>
      <c r="E370" s="10"/>
    </row>
    <row r="371" ht="22.5" customHeight="1">
      <c r="A371" s="10"/>
      <c r="B371" s="9"/>
      <c r="C371" s="10"/>
      <c r="D371" s="10"/>
      <c r="E371" s="10"/>
    </row>
    <row r="372" ht="22.5" customHeight="1">
      <c r="A372" s="10"/>
      <c r="B372" s="9"/>
      <c r="C372" s="10"/>
      <c r="D372" s="10"/>
      <c r="E372" s="10"/>
    </row>
    <row r="373" ht="22.5" customHeight="1">
      <c r="A373" s="10"/>
      <c r="B373" s="9"/>
      <c r="C373" s="10"/>
      <c r="D373" s="10"/>
      <c r="E373" s="10"/>
    </row>
    <row r="374" ht="22.5" customHeight="1">
      <c r="A374" s="10"/>
      <c r="B374" s="9"/>
      <c r="C374" s="10"/>
      <c r="D374" s="10"/>
      <c r="E374" s="10"/>
    </row>
    <row r="375" ht="22.5" customHeight="1">
      <c r="A375" s="10"/>
      <c r="B375" s="9"/>
      <c r="C375" s="10"/>
      <c r="D375" s="10"/>
      <c r="E375" s="10"/>
    </row>
    <row r="376" ht="22.5" customHeight="1">
      <c r="A376" s="10"/>
      <c r="B376" s="9"/>
      <c r="C376" s="10"/>
      <c r="D376" s="10"/>
      <c r="E376" s="10"/>
    </row>
    <row r="377" ht="22.5" customHeight="1">
      <c r="A377" s="10"/>
      <c r="B377" s="9"/>
      <c r="C377" s="10"/>
      <c r="D377" s="10"/>
      <c r="E377" s="10"/>
    </row>
    <row r="378" ht="22.5" customHeight="1">
      <c r="A378" s="10"/>
      <c r="B378" s="9"/>
      <c r="C378" s="10"/>
      <c r="D378" s="10"/>
      <c r="E378" s="10"/>
    </row>
    <row r="379" ht="22.5" customHeight="1">
      <c r="A379" s="10"/>
      <c r="B379" s="9"/>
      <c r="C379" s="10"/>
      <c r="D379" s="10"/>
      <c r="E379" s="10"/>
    </row>
    <row r="380" ht="22.5" customHeight="1">
      <c r="A380" s="10"/>
      <c r="B380" s="9"/>
      <c r="C380" s="10"/>
      <c r="D380" s="10"/>
      <c r="E380" s="10"/>
    </row>
    <row r="381" ht="22.5" customHeight="1">
      <c r="A381" s="10"/>
      <c r="B381" s="9"/>
      <c r="C381" s="10"/>
      <c r="D381" s="10"/>
      <c r="E381" s="10"/>
    </row>
    <row r="382" ht="22.5" customHeight="1">
      <c r="A382" s="10"/>
      <c r="B382" s="9"/>
      <c r="C382" s="10"/>
      <c r="D382" s="10"/>
      <c r="E382" s="10"/>
    </row>
    <row r="383" ht="22.5" customHeight="1">
      <c r="A383" s="10"/>
      <c r="B383" s="9"/>
      <c r="C383" s="10"/>
      <c r="D383" s="10"/>
      <c r="E383" s="10"/>
    </row>
    <row r="384" ht="22.5" customHeight="1">
      <c r="A384" s="10"/>
      <c r="B384" s="9"/>
      <c r="C384" s="10"/>
      <c r="D384" s="10"/>
      <c r="E384" s="10"/>
    </row>
    <row r="385" ht="22.5" customHeight="1">
      <c r="A385" s="10"/>
      <c r="B385" s="9"/>
      <c r="C385" s="10"/>
      <c r="D385" s="10"/>
      <c r="E385" s="10"/>
    </row>
    <row r="386" ht="22.5" customHeight="1">
      <c r="A386" s="10"/>
      <c r="B386" s="9"/>
      <c r="C386" s="10"/>
      <c r="D386" s="10"/>
      <c r="E386" s="10"/>
    </row>
    <row r="387" ht="22.5" customHeight="1">
      <c r="A387" s="10"/>
      <c r="B387" s="9"/>
      <c r="C387" s="10"/>
      <c r="D387" s="10"/>
      <c r="E387" s="10"/>
    </row>
    <row r="388" ht="22.5" customHeight="1">
      <c r="A388" s="10"/>
      <c r="B388" s="9"/>
      <c r="C388" s="10"/>
      <c r="D388" s="10"/>
      <c r="E388" s="10"/>
    </row>
    <row r="389" ht="22.5" customHeight="1">
      <c r="A389" s="10"/>
      <c r="B389" s="9"/>
      <c r="C389" s="10"/>
      <c r="D389" s="10"/>
      <c r="E389" s="10"/>
    </row>
    <row r="390" ht="22.5" customHeight="1">
      <c r="A390" s="10"/>
      <c r="B390" s="9"/>
      <c r="C390" s="10"/>
      <c r="D390" s="10"/>
      <c r="E390" s="10"/>
    </row>
    <row r="391" ht="22.5" customHeight="1">
      <c r="A391" s="10"/>
      <c r="B391" s="9"/>
      <c r="C391" s="10"/>
      <c r="D391" s="10"/>
      <c r="E391" s="10"/>
    </row>
    <row r="392" ht="22.5" customHeight="1">
      <c r="A392" s="10"/>
      <c r="B392" s="9"/>
      <c r="C392" s="10"/>
      <c r="D392" s="10"/>
      <c r="E392" s="10"/>
    </row>
    <row r="393" ht="22.5" customHeight="1">
      <c r="A393" s="10"/>
      <c r="B393" s="9"/>
      <c r="C393" s="10"/>
      <c r="D393" s="10"/>
      <c r="E393" s="10"/>
    </row>
    <row r="394" ht="22.5" customHeight="1">
      <c r="A394" s="10"/>
      <c r="B394" s="9"/>
      <c r="C394" s="10"/>
      <c r="D394" s="10"/>
      <c r="E394" s="10"/>
    </row>
    <row r="395" ht="22.5" customHeight="1">
      <c r="A395" s="10"/>
      <c r="B395" s="9"/>
      <c r="C395" s="10"/>
      <c r="D395" s="10"/>
      <c r="E395" s="10"/>
    </row>
    <row r="396" ht="22.5" customHeight="1">
      <c r="A396" s="10"/>
      <c r="B396" s="9"/>
      <c r="C396" s="10"/>
      <c r="D396" s="10"/>
      <c r="E396" s="10"/>
    </row>
    <row r="397" ht="22.5" customHeight="1">
      <c r="A397" s="10"/>
      <c r="B397" s="9"/>
      <c r="C397" s="10"/>
      <c r="D397" s="10"/>
      <c r="E397" s="10"/>
    </row>
    <row r="398" ht="22.5" customHeight="1">
      <c r="A398" s="10"/>
      <c r="B398" s="9"/>
      <c r="C398" s="10"/>
      <c r="D398" s="10"/>
      <c r="E398" s="10"/>
    </row>
    <row r="399" ht="22.5" customHeight="1">
      <c r="A399" s="10"/>
      <c r="B399" s="9"/>
      <c r="C399" s="10"/>
      <c r="D399" s="10"/>
      <c r="E399" s="10"/>
    </row>
    <row r="400" ht="22.5" customHeight="1">
      <c r="A400" s="10"/>
      <c r="B400" s="9"/>
      <c r="C400" s="10"/>
      <c r="D400" s="10"/>
      <c r="E400" s="10"/>
    </row>
    <row r="401" ht="22.5" customHeight="1">
      <c r="A401" s="10"/>
      <c r="B401" s="9"/>
      <c r="C401" s="10"/>
      <c r="D401" s="10"/>
      <c r="E401" s="10"/>
    </row>
    <row r="402" ht="22.5" customHeight="1">
      <c r="A402" s="10"/>
      <c r="B402" s="9"/>
      <c r="C402" s="10"/>
      <c r="D402" s="10"/>
      <c r="E402" s="10"/>
    </row>
    <row r="403" ht="22.5" customHeight="1">
      <c r="A403" s="10"/>
      <c r="B403" s="9"/>
      <c r="C403" s="10"/>
      <c r="D403" s="10"/>
      <c r="E403" s="10"/>
    </row>
    <row r="404" ht="22.5" customHeight="1">
      <c r="A404" s="10"/>
      <c r="B404" s="9"/>
      <c r="C404" s="10"/>
      <c r="D404" s="10"/>
      <c r="E404" s="10"/>
    </row>
    <row r="405" ht="22.5" customHeight="1">
      <c r="A405" s="10"/>
      <c r="B405" s="9"/>
      <c r="C405" s="10"/>
      <c r="D405" s="10"/>
      <c r="E405" s="10"/>
    </row>
    <row r="406" ht="22.5" customHeight="1">
      <c r="A406" s="10"/>
      <c r="B406" s="9"/>
      <c r="C406" s="10"/>
      <c r="D406" s="10"/>
      <c r="E406" s="10"/>
    </row>
    <row r="407" ht="22.5" customHeight="1">
      <c r="A407" s="10"/>
      <c r="B407" s="9"/>
      <c r="C407" s="10"/>
      <c r="D407" s="10"/>
      <c r="E407" s="10"/>
    </row>
    <row r="408" ht="22.5" customHeight="1">
      <c r="A408" s="10"/>
      <c r="B408" s="9"/>
      <c r="C408" s="10"/>
      <c r="D408" s="10"/>
      <c r="E408" s="10"/>
    </row>
    <row r="409" ht="22.5" customHeight="1">
      <c r="A409" s="10"/>
      <c r="B409" s="9"/>
      <c r="C409" s="10"/>
      <c r="D409" s="10"/>
      <c r="E409" s="10"/>
    </row>
    <row r="410" ht="22.5" customHeight="1">
      <c r="A410" s="10"/>
      <c r="B410" s="9"/>
      <c r="C410" s="10"/>
      <c r="D410" s="10"/>
      <c r="E410" s="10"/>
    </row>
    <row r="411" ht="22.5" customHeight="1">
      <c r="A411" s="10"/>
      <c r="B411" s="9"/>
      <c r="C411" s="10"/>
      <c r="D411" s="10"/>
      <c r="E411" s="10"/>
    </row>
    <row r="412" ht="22.5" customHeight="1">
      <c r="A412" s="10"/>
      <c r="B412" s="9"/>
      <c r="C412" s="10"/>
      <c r="D412" s="10"/>
      <c r="E412" s="10"/>
    </row>
    <row r="413" ht="22.5" customHeight="1">
      <c r="A413" s="10"/>
      <c r="B413" s="9"/>
      <c r="C413" s="10"/>
      <c r="D413" s="10"/>
      <c r="E413" s="10"/>
    </row>
    <row r="414" ht="22.5" customHeight="1">
      <c r="A414" s="10"/>
      <c r="B414" s="9"/>
      <c r="C414" s="10"/>
      <c r="D414" s="10"/>
      <c r="E414" s="10"/>
    </row>
    <row r="415" ht="22.5" customHeight="1">
      <c r="A415" s="10"/>
      <c r="B415" s="9"/>
      <c r="C415" s="10"/>
      <c r="D415" s="10"/>
      <c r="E415" s="10"/>
    </row>
    <row r="416" ht="22.5" customHeight="1">
      <c r="A416" s="10"/>
      <c r="B416" s="9"/>
      <c r="C416" s="10"/>
      <c r="D416" s="10"/>
      <c r="E416" s="10"/>
    </row>
    <row r="417" ht="22.5" customHeight="1">
      <c r="A417" s="10"/>
      <c r="B417" s="9"/>
      <c r="C417" s="10"/>
      <c r="D417" s="10"/>
      <c r="E417" s="10"/>
    </row>
    <row r="418" ht="22.5" customHeight="1">
      <c r="A418" s="10"/>
      <c r="B418" s="9"/>
      <c r="C418" s="10"/>
      <c r="D418" s="10"/>
      <c r="E418" s="10"/>
    </row>
    <row r="419" ht="22.5" customHeight="1">
      <c r="A419" s="10"/>
      <c r="B419" s="9"/>
      <c r="C419" s="10"/>
      <c r="D419" s="10"/>
      <c r="E419" s="10"/>
    </row>
    <row r="420" ht="22.5" customHeight="1">
      <c r="A420" s="10"/>
      <c r="B420" s="9"/>
      <c r="C420" s="10"/>
      <c r="D420" s="10"/>
      <c r="E420" s="10"/>
    </row>
    <row r="421" ht="22.5" customHeight="1">
      <c r="A421" s="10"/>
      <c r="B421" s="9"/>
      <c r="C421" s="10"/>
      <c r="D421" s="10"/>
      <c r="E421" s="10"/>
    </row>
    <row r="422" ht="22.5" customHeight="1">
      <c r="A422" s="10"/>
      <c r="B422" s="9"/>
      <c r="C422" s="10"/>
      <c r="D422" s="10"/>
      <c r="E422" s="10"/>
    </row>
    <row r="423" ht="22.5" customHeight="1">
      <c r="A423" s="10"/>
      <c r="B423" s="9"/>
      <c r="C423" s="10"/>
      <c r="D423" s="10"/>
      <c r="E423" s="10"/>
    </row>
    <row r="424" ht="22.5" customHeight="1">
      <c r="A424" s="10"/>
      <c r="B424" s="9"/>
      <c r="C424" s="10"/>
      <c r="D424" s="10"/>
      <c r="E424" s="10"/>
    </row>
    <row r="425" ht="22.5" customHeight="1">
      <c r="A425" s="10"/>
      <c r="B425" s="9"/>
      <c r="C425" s="10"/>
      <c r="D425" s="10"/>
      <c r="E425" s="10"/>
    </row>
    <row r="426" ht="22.5" customHeight="1">
      <c r="A426" s="10"/>
      <c r="B426" s="9"/>
      <c r="C426" s="10"/>
      <c r="D426" s="10"/>
      <c r="E426" s="10"/>
    </row>
    <row r="427" ht="22.5" customHeight="1">
      <c r="A427" s="10"/>
      <c r="B427" s="9"/>
      <c r="C427" s="10"/>
      <c r="D427" s="10"/>
      <c r="E427" s="10"/>
    </row>
    <row r="428" ht="22.5" customHeight="1">
      <c r="A428" s="10"/>
      <c r="B428" s="9"/>
      <c r="C428" s="10"/>
      <c r="D428" s="10"/>
      <c r="E428" s="10"/>
    </row>
    <row r="429" ht="22.5" customHeight="1">
      <c r="A429" s="10"/>
      <c r="B429" s="9"/>
      <c r="C429" s="10"/>
      <c r="D429" s="10"/>
      <c r="E429" s="10"/>
    </row>
    <row r="430" ht="22.5" customHeight="1">
      <c r="A430" s="10"/>
      <c r="B430" s="9"/>
      <c r="C430" s="10"/>
      <c r="D430" s="10"/>
      <c r="E430" s="10"/>
    </row>
    <row r="431" ht="22.5" customHeight="1">
      <c r="A431" s="10"/>
      <c r="B431" s="9"/>
      <c r="C431" s="10"/>
      <c r="D431" s="10"/>
      <c r="E431" s="10"/>
    </row>
    <row r="432" ht="22.5" customHeight="1">
      <c r="A432" s="10"/>
      <c r="B432" s="9"/>
      <c r="C432" s="10"/>
      <c r="D432" s="10"/>
      <c r="E432" s="10"/>
    </row>
    <row r="433" ht="22.5" customHeight="1">
      <c r="A433" s="10"/>
      <c r="B433" s="9"/>
      <c r="C433" s="10"/>
      <c r="D433" s="10"/>
      <c r="E433" s="10"/>
    </row>
    <row r="434" ht="22.5" customHeight="1">
      <c r="A434" s="10"/>
      <c r="B434" s="9"/>
      <c r="C434" s="10"/>
      <c r="D434" s="10"/>
      <c r="E434" s="10"/>
    </row>
    <row r="435" ht="22.5" customHeight="1">
      <c r="A435" s="10"/>
      <c r="B435" s="9"/>
      <c r="C435" s="10"/>
      <c r="D435" s="10"/>
      <c r="E435" s="10"/>
    </row>
    <row r="436" ht="22.5" customHeight="1">
      <c r="A436" s="10"/>
      <c r="B436" s="9"/>
      <c r="C436" s="10"/>
      <c r="D436" s="10"/>
      <c r="E436" s="10"/>
    </row>
    <row r="437" ht="22.5" customHeight="1">
      <c r="A437" s="10"/>
      <c r="B437" s="9"/>
      <c r="C437" s="10"/>
      <c r="D437" s="10"/>
      <c r="E437" s="10"/>
    </row>
    <row r="438" ht="22.5" customHeight="1">
      <c r="A438" s="10"/>
      <c r="B438" s="9"/>
      <c r="C438" s="10"/>
      <c r="D438" s="10"/>
      <c r="E438" s="10"/>
    </row>
    <row r="439" ht="22.5" customHeight="1">
      <c r="A439" s="10"/>
      <c r="B439" s="9"/>
      <c r="C439" s="10"/>
      <c r="D439" s="10"/>
      <c r="E439" s="10"/>
    </row>
    <row r="440" ht="22.5" customHeight="1">
      <c r="A440" s="10"/>
      <c r="B440" s="9"/>
      <c r="C440" s="10"/>
      <c r="D440" s="10"/>
      <c r="E440" s="10"/>
    </row>
    <row r="441" ht="22.5" customHeight="1">
      <c r="A441" s="10"/>
      <c r="B441" s="9"/>
      <c r="C441" s="10"/>
      <c r="D441" s="10"/>
      <c r="E441" s="10"/>
    </row>
    <row r="442" ht="22.5" customHeight="1">
      <c r="A442" s="10"/>
      <c r="B442" s="9"/>
      <c r="C442" s="10"/>
      <c r="D442" s="10"/>
      <c r="E442" s="10"/>
    </row>
    <row r="443" ht="22.5" customHeight="1">
      <c r="A443" s="10"/>
      <c r="B443" s="9"/>
      <c r="C443" s="10"/>
      <c r="D443" s="10"/>
      <c r="E443" s="10"/>
    </row>
    <row r="444" ht="22.5" customHeight="1">
      <c r="A444" s="10"/>
      <c r="B444" s="9"/>
      <c r="C444" s="10"/>
      <c r="D444" s="10"/>
      <c r="E444" s="10"/>
    </row>
    <row r="445" ht="22.5" customHeight="1">
      <c r="A445" s="10"/>
      <c r="B445" s="9"/>
      <c r="C445" s="10"/>
      <c r="D445" s="10"/>
      <c r="E445" s="10"/>
    </row>
    <row r="446" ht="22.5" customHeight="1">
      <c r="A446" s="10"/>
      <c r="B446" s="9"/>
      <c r="C446" s="10"/>
      <c r="D446" s="10"/>
      <c r="E446" s="10"/>
    </row>
    <row r="447" ht="22.5" customHeight="1">
      <c r="A447" s="10"/>
      <c r="B447" s="9"/>
      <c r="C447" s="10"/>
      <c r="D447" s="10"/>
      <c r="E447" s="10"/>
    </row>
    <row r="448" ht="22.5" customHeight="1">
      <c r="A448" s="10"/>
      <c r="B448" s="9"/>
      <c r="C448" s="10"/>
      <c r="D448" s="10"/>
      <c r="E448" s="10"/>
    </row>
    <row r="449" ht="22.5" customHeight="1">
      <c r="A449" s="10"/>
      <c r="B449" s="9"/>
      <c r="C449" s="10"/>
      <c r="D449" s="10"/>
      <c r="E449" s="10"/>
    </row>
    <row r="450" ht="22.5" customHeight="1">
      <c r="A450" s="10"/>
      <c r="B450" s="9"/>
      <c r="C450" s="10"/>
      <c r="D450" s="10"/>
      <c r="E450" s="10"/>
    </row>
    <row r="451" ht="22.5" customHeight="1">
      <c r="A451" s="10"/>
      <c r="B451" s="9"/>
      <c r="C451" s="10"/>
      <c r="D451" s="10"/>
      <c r="E451" s="10"/>
    </row>
    <row r="452" ht="22.5" customHeight="1">
      <c r="A452" s="10"/>
      <c r="B452" s="9"/>
      <c r="C452" s="10"/>
      <c r="D452" s="10"/>
      <c r="E452" s="10"/>
    </row>
    <row r="453" ht="22.5" customHeight="1">
      <c r="A453" s="10"/>
      <c r="B453" s="9"/>
      <c r="C453" s="10"/>
      <c r="D453" s="10"/>
      <c r="E453" s="10"/>
    </row>
    <row r="454" ht="22.5" customHeight="1">
      <c r="A454" s="10"/>
      <c r="B454" s="9"/>
      <c r="C454" s="10"/>
      <c r="D454" s="10"/>
      <c r="E454" s="10"/>
    </row>
    <row r="455" ht="22.5" customHeight="1">
      <c r="A455" s="10"/>
      <c r="B455" s="9"/>
      <c r="C455" s="10"/>
      <c r="D455" s="10"/>
      <c r="E455" s="10"/>
    </row>
    <row r="456" ht="22.5" customHeight="1">
      <c r="A456" s="10"/>
      <c r="B456" s="9"/>
      <c r="C456" s="10"/>
      <c r="D456" s="10"/>
      <c r="E456" s="10"/>
    </row>
    <row r="457" ht="22.5" customHeight="1">
      <c r="A457" s="10"/>
      <c r="B457" s="9"/>
      <c r="C457" s="10"/>
      <c r="D457" s="10"/>
      <c r="E457" s="10"/>
    </row>
    <row r="458" ht="22.5" customHeight="1">
      <c r="A458" s="10"/>
      <c r="B458" s="9"/>
      <c r="C458" s="10"/>
      <c r="D458" s="10"/>
      <c r="E458" s="10"/>
    </row>
    <row r="459" ht="22.5" customHeight="1">
      <c r="A459" s="10"/>
      <c r="B459" s="9"/>
      <c r="C459" s="10"/>
      <c r="D459" s="10"/>
      <c r="E459" s="10"/>
    </row>
    <row r="460" ht="22.5" customHeight="1">
      <c r="A460" s="10"/>
      <c r="B460" s="9"/>
      <c r="C460" s="10"/>
      <c r="D460" s="10"/>
      <c r="E460" s="10"/>
    </row>
    <row r="461" ht="22.5" customHeight="1">
      <c r="A461" s="10"/>
      <c r="B461" s="9"/>
      <c r="C461" s="10"/>
      <c r="D461" s="10"/>
      <c r="E461" s="10"/>
    </row>
    <row r="462" ht="22.5" customHeight="1">
      <c r="A462" s="10"/>
      <c r="B462" s="9"/>
      <c r="C462" s="10"/>
      <c r="D462" s="10"/>
      <c r="E462" s="10"/>
    </row>
    <row r="463" ht="22.5" customHeight="1">
      <c r="A463" s="10"/>
      <c r="B463" s="9"/>
      <c r="C463" s="10"/>
      <c r="D463" s="10"/>
      <c r="E463" s="10"/>
    </row>
    <row r="464" ht="22.5" customHeight="1">
      <c r="A464" s="10"/>
      <c r="B464" s="9"/>
      <c r="C464" s="10"/>
      <c r="D464" s="10"/>
      <c r="E464" s="10"/>
    </row>
    <row r="465" ht="22.5" customHeight="1">
      <c r="A465" s="10"/>
      <c r="B465" s="9"/>
      <c r="C465" s="10"/>
      <c r="D465" s="10"/>
      <c r="E465" s="10"/>
    </row>
    <row r="466" ht="22.5" customHeight="1">
      <c r="A466" s="10"/>
      <c r="B466" s="9"/>
      <c r="C466" s="10"/>
      <c r="D466" s="10"/>
      <c r="E466" s="10"/>
    </row>
    <row r="467" ht="22.5" customHeight="1">
      <c r="A467" s="10"/>
      <c r="B467" s="9"/>
      <c r="C467" s="10"/>
      <c r="D467" s="10"/>
      <c r="E467" s="10"/>
    </row>
    <row r="468" ht="22.5" customHeight="1">
      <c r="A468" s="10"/>
      <c r="B468" s="9"/>
      <c r="C468" s="10"/>
      <c r="D468" s="10"/>
      <c r="E468" s="10"/>
    </row>
    <row r="469" ht="22.5" customHeight="1">
      <c r="A469" s="10"/>
      <c r="B469" s="9"/>
      <c r="C469" s="10"/>
      <c r="D469" s="10"/>
      <c r="E469" s="10"/>
    </row>
    <row r="470" ht="22.5" customHeight="1">
      <c r="A470" s="10"/>
      <c r="B470" s="9"/>
      <c r="C470" s="10"/>
      <c r="D470" s="10"/>
      <c r="E470" s="10"/>
    </row>
    <row r="471" ht="22.5" customHeight="1">
      <c r="A471" s="10"/>
      <c r="B471" s="9"/>
      <c r="C471" s="10"/>
      <c r="D471" s="10"/>
      <c r="E471" s="10"/>
    </row>
    <row r="472" ht="22.5" customHeight="1">
      <c r="A472" s="10"/>
      <c r="B472" s="9"/>
      <c r="C472" s="10"/>
      <c r="D472" s="10"/>
      <c r="E472" s="10"/>
    </row>
    <row r="473" ht="22.5" customHeight="1">
      <c r="A473" s="10"/>
      <c r="B473" s="9"/>
      <c r="C473" s="10"/>
      <c r="D473" s="10"/>
      <c r="E473" s="10"/>
    </row>
    <row r="474" ht="22.5" customHeight="1">
      <c r="A474" s="10"/>
      <c r="B474" s="9"/>
      <c r="C474" s="10"/>
      <c r="D474" s="10"/>
      <c r="E474" s="10"/>
    </row>
    <row r="475" ht="22.5" customHeight="1">
      <c r="A475" s="10"/>
      <c r="B475" s="9"/>
      <c r="C475" s="10"/>
      <c r="D475" s="10"/>
      <c r="E475" s="10"/>
    </row>
    <row r="476" ht="22.5" customHeight="1">
      <c r="A476" s="10"/>
      <c r="B476" s="9"/>
      <c r="C476" s="10"/>
      <c r="D476" s="10"/>
      <c r="E476" s="10"/>
    </row>
    <row r="477" ht="22.5" customHeight="1">
      <c r="A477" s="10"/>
      <c r="B477" s="9"/>
      <c r="C477" s="10"/>
      <c r="D477" s="10"/>
      <c r="E477" s="10"/>
    </row>
    <row r="478" ht="22.5" customHeight="1">
      <c r="A478" s="10"/>
      <c r="B478" s="9"/>
      <c r="C478" s="10"/>
      <c r="D478" s="10"/>
      <c r="E478" s="10"/>
    </row>
    <row r="479" ht="22.5" customHeight="1">
      <c r="A479" s="10"/>
      <c r="B479" s="9"/>
      <c r="C479" s="10"/>
      <c r="D479" s="10"/>
      <c r="E479" s="10"/>
    </row>
    <row r="480" ht="22.5" customHeight="1">
      <c r="A480" s="10"/>
      <c r="B480" s="9"/>
      <c r="C480" s="10"/>
      <c r="D480" s="10"/>
      <c r="E480" s="10"/>
    </row>
    <row r="481" ht="22.5" customHeight="1">
      <c r="A481" s="10"/>
      <c r="B481" s="9"/>
      <c r="C481" s="10"/>
      <c r="D481" s="10"/>
      <c r="E481" s="10"/>
    </row>
    <row r="482" ht="22.5" customHeight="1">
      <c r="A482" s="10"/>
      <c r="B482" s="9"/>
      <c r="C482" s="10"/>
      <c r="D482" s="10"/>
      <c r="E482" s="10"/>
    </row>
    <row r="483" ht="22.5" customHeight="1">
      <c r="A483" s="10"/>
      <c r="B483" s="9"/>
      <c r="C483" s="10"/>
      <c r="D483" s="10"/>
      <c r="E483" s="10"/>
    </row>
    <row r="484" ht="22.5" customHeight="1">
      <c r="A484" s="10"/>
      <c r="B484" s="9"/>
      <c r="C484" s="10"/>
      <c r="D484" s="10"/>
      <c r="E484" s="10"/>
    </row>
    <row r="485" ht="22.5" customHeight="1">
      <c r="A485" s="10"/>
      <c r="B485" s="9"/>
      <c r="C485" s="10"/>
      <c r="D485" s="10"/>
      <c r="E485" s="10"/>
    </row>
    <row r="486" ht="22.5" customHeight="1">
      <c r="A486" s="10"/>
      <c r="B486" s="9"/>
      <c r="C486" s="10"/>
      <c r="D486" s="10"/>
      <c r="E486" s="10"/>
    </row>
    <row r="487" ht="22.5" customHeight="1">
      <c r="A487" s="10"/>
      <c r="B487" s="9"/>
      <c r="C487" s="10"/>
      <c r="D487" s="10"/>
      <c r="E487" s="10"/>
    </row>
    <row r="488" ht="22.5" customHeight="1">
      <c r="A488" s="10"/>
      <c r="B488" s="9"/>
      <c r="C488" s="10"/>
      <c r="D488" s="10"/>
      <c r="E488" s="10"/>
    </row>
    <row r="489" ht="22.5" customHeight="1">
      <c r="A489" s="10"/>
      <c r="B489" s="9"/>
      <c r="C489" s="10"/>
      <c r="D489" s="10"/>
      <c r="E489" s="10"/>
    </row>
    <row r="490" ht="22.5" customHeight="1">
      <c r="A490" s="10"/>
      <c r="B490" s="9"/>
      <c r="C490" s="10"/>
      <c r="D490" s="10"/>
      <c r="E490" s="10"/>
    </row>
    <row r="491" ht="22.5" customHeight="1">
      <c r="A491" s="10"/>
      <c r="B491" s="9"/>
      <c r="C491" s="10"/>
      <c r="D491" s="10"/>
      <c r="E491" s="10"/>
    </row>
    <row r="492" ht="22.5" customHeight="1">
      <c r="A492" s="10"/>
      <c r="B492" s="9"/>
      <c r="C492" s="10"/>
      <c r="D492" s="10"/>
      <c r="E492" s="10"/>
    </row>
    <row r="493" ht="22.5" customHeight="1">
      <c r="A493" s="10"/>
      <c r="B493" s="9"/>
      <c r="C493" s="10"/>
      <c r="D493" s="10"/>
      <c r="E493" s="10"/>
    </row>
    <row r="494" ht="22.5" customHeight="1">
      <c r="A494" s="10"/>
      <c r="B494" s="9"/>
      <c r="C494" s="10"/>
      <c r="D494" s="10"/>
      <c r="E494" s="10"/>
    </row>
    <row r="495" ht="22.5" customHeight="1">
      <c r="A495" s="10"/>
      <c r="B495" s="9"/>
      <c r="C495" s="10"/>
      <c r="D495" s="10"/>
      <c r="E495" s="10"/>
    </row>
    <row r="496" ht="22.5" customHeight="1">
      <c r="A496" s="10"/>
      <c r="B496" s="9"/>
      <c r="C496" s="10"/>
      <c r="D496" s="10"/>
      <c r="E496" s="10"/>
    </row>
    <row r="497" ht="22.5" customHeight="1">
      <c r="A497" s="10"/>
      <c r="B497" s="9"/>
      <c r="C497" s="10"/>
      <c r="D497" s="10"/>
      <c r="E497" s="10"/>
    </row>
    <row r="498" ht="22.5" customHeight="1">
      <c r="A498" s="10"/>
      <c r="B498" s="9"/>
      <c r="C498" s="10"/>
      <c r="D498" s="10"/>
      <c r="E498" s="10"/>
    </row>
    <row r="499" ht="22.5" customHeight="1">
      <c r="A499" s="10"/>
      <c r="B499" s="9"/>
      <c r="C499" s="10"/>
      <c r="D499" s="10"/>
      <c r="E499" s="10"/>
    </row>
    <row r="500" ht="22.5" customHeight="1">
      <c r="A500" s="10"/>
      <c r="B500" s="9"/>
      <c r="C500" s="10"/>
      <c r="D500" s="10"/>
      <c r="E500" s="10"/>
    </row>
    <row r="501" ht="22.5" customHeight="1">
      <c r="A501" s="10"/>
      <c r="B501" s="9"/>
      <c r="C501" s="10"/>
      <c r="D501" s="10"/>
      <c r="E501" s="10"/>
    </row>
    <row r="502" ht="22.5" customHeight="1">
      <c r="A502" s="10"/>
      <c r="B502" s="9"/>
      <c r="C502" s="10"/>
      <c r="D502" s="10"/>
      <c r="E502" s="10"/>
    </row>
    <row r="503" ht="22.5" customHeight="1">
      <c r="A503" s="10"/>
      <c r="B503" s="9"/>
      <c r="C503" s="10"/>
      <c r="D503" s="10"/>
      <c r="E503" s="10"/>
    </row>
    <row r="504" ht="22.5" customHeight="1">
      <c r="A504" s="10"/>
      <c r="B504" s="9"/>
      <c r="C504" s="10"/>
      <c r="D504" s="10"/>
      <c r="E504" s="10"/>
    </row>
    <row r="505" ht="22.5" customHeight="1">
      <c r="A505" s="10"/>
      <c r="B505" s="9"/>
      <c r="C505" s="10"/>
      <c r="D505" s="10"/>
      <c r="E505" s="10"/>
    </row>
    <row r="506" ht="22.5" customHeight="1">
      <c r="A506" s="10"/>
      <c r="B506" s="9"/>
      <c r="C506" s="10"/>
      <c r="D506" s="10"/>
      <c r="E506" s="10"/>
    </row>
    <row r="507" ht="22.5" customHeight="1">
      <c r="A507" s="10"/>
      <c r="B507" s="9"/>
      <c r="C507" s="10"/>
      <c r="D507" s="10"/>
      <c r="E507" s="10"/>
    </row>
    <row r="508" ht="22.5" customHeight="1">
      <c r="A508" s="10"/>
      <c r="B508" s="9"/>
      <c r="C508" s="10"/>
      <c r="D508" s="10"/>
      <c r="E508" s="10"/>
    </row>
    <row r="509" ht="22.5" customHeight="1">
      <c r="A509" s="10"/>
      <c r="B509" s="9"/>
      <c r="C509" s="10"/>
      <c r="D509" s="10"/>
      <c r="E509" s="10"/>
    </row>
    <row r="510" ht="22.5" customHeight="1">
      <c r="A510" s="10"/>
      <c r="B510" s="9"/>
      <c r="C510" s="10"/>
      <c r="D510" s="10"/>
      <c r="E510" s="10"/>
    </row>
    <row r="511" ht="22.5" customHeight="1">
      <c r="A511" s="10"/>
      <c r="B511" s="9"/>
      <c r="C511" s="10"/>
      <c r="D511" s="10"/>
      <c r="E511" s="10"/>
    </row>
    <row r="512" ht="22.5" customHeight="1">
      <c r="A512" s="10"/>
      <c r="B512" s="9"/>
      <c r="C512" s="10"/>
      <c r="D512" s="10"/>
      <c r="E512" s="10"/>
    </row>
    <row r="513" ht="22.5" customHeight="1">
      <c r="A513" s="10"/>
      <c r="B513" s="9"/>
      <c r="C513" s="10"/>
      <c r="D513" s="10"/>
      <c r="E513" s="10"/>
    </row>
    <row r="514" ht="22.5" customHeight="1">
      <c r="A514" s="10"/>
      <c r="B514" s="9"/>
      <c r="C514" s="10"/>
      <c r="D514" s="10"/>
      <c r="E514" s="10"/>
    </row>
    <row r="515" ht="22.5" customHeight="1">
      <c r="A515" s="10"/>
      <c r="B515" s="9"/>
      <c r="C515" s="10"/>
      <c r="D515" s="10"/>
      <c r="E515" s="10"/>
    </row>
    <row r="516" ht="22.5" customHeight="1">
      <c r="A516" s="10"/>
      <c r="B516" s="9"/>
      <c r="C516" s="10"/>
      <c r="D516" s="10"/>
      <c r="E516" s="10"/>
    </row>
    <row r="517" ht="22.5" customHeight="1">
      <c r="A517" s="10"/>
      <c r="B517" s="9"/>
      <c r="C517" s="10"/>
      <c r="D517" s="10"/>
      <c r="E517" s="10"/>
    </row>
    <row r="518" ht="22.5" customHeight="1">
      <c r="A518" s="10"/>
      <c r="B518" s="9"/>
      <c r="C518" s="10"/>
      <c r="D518" s="10"/>
      <c r="E518" s="10"/>
    </row>
    <row r="519" ht="22.5" customHeight="1">
      <c r="A519" s="10"/>
      <c r="B519" s="9"/>
      <c r="C519" s="10"/>
      <c r="D519" s="10"/>
      <c r="E519" s="10"/>
    </row>
    <row r="520" ht="22.5" customHeight="1">
      <c r="A520" s="10"/>
      <c r="B520" s="9"/>
      <c r="C520" s="10"/>
      <c r="D520" s="10"/>
      <c r="E520" s="10"/>
    </row>
    <row r="521" ht="22.5" customHeight="1">
      <c r="A521" s="10"/>
      <c r="B521" s="9"/>
      <c r="C521" s="10"/>
      <c r="D521" s="10"/>
      <c r="E521" s="10"/>
    </row>
    <row r="522" ht="22.5" customHeight="1">
      <c r="A522" s="10"/>
      <c r="B522" s="9"/>
      <c r="C522" s="10"/>
      <c r="D522" s="10"/>
      <c r="E522" s="10"/>
    </row>
    <row r="523" ht="22.5" customHeight="1">
      <c r="A523" s="10"/>
      <c r="B523" s="9"/>
      <c r="C523" s="10"/>
      <c r="D523" s="10"/>
      <c r="E523" s="10"/>
    </row>
    <row r="524" ht="22.5" customHeight="1">
      <c r="A524" s="10"/>
      <c r="B524" s="9"/>
      <c r="C524" s="10"/>
      <c r="D524" s="10"/>
      <c r="E524" s="10"/>
    </row>
    <row r="525" ht="22.5" customHeight="1">
      <c r="A525" s="10"/>
      <c r="B525" s="9"/>
      <c r="C525" s="10"/>
      <c r="D525" s="10"/>
      <c r="E525" s="10"/>
    </row>
    <row r="526" ht="22.5" customHeight="1">
      <c r="A526" s="10"/>
      <c r="B526" s="9"/>
      <c r="C526" s="10"/>
      <c r="D526" s="10"/>
      <c r="E526" s="10"/>
    </row>
    <row r="527" ht="22.5" customHeight="1">
      <c r="A527" s="10"/>
      <c r="B527" s="9"/>
      <c r="C527" s="10"/>
      <c r="D527" s="10"/>
      <c r="E527" s="10"/>
    </row>
    <row r="528" ht="22.5" customHeight="1">
      <c r="A528" s="10"/>
      <c r="B528" s="9"/>
      <c r="C528" s="10"/>
      <c r="D528" s="10"/>
      <c r="E528" s="10"/>
    </row>
    <row r="529" ht="22.5" customHeight="1">
      <c r="A529" s="10"/>
      <c r="B529" s="9"/>
      <c r="C529" s="10"/>
      <c r="D529" s="10"/>
      <c r="E529" s="10"/>
    </row>
    <row r="530" ht="22.5" customHeight="1">
      <c r="A530" s="10"/>
      <c r="B530" s="9"/>
      <c r="C530" s="10"/>
      <c r="D530" s="10"/>
      <c r="E530" s="10"/>
    </row>
    <row r="531" ht="22.5" customHeight="1">
      <c r="A531" s="10"/>
      <c r="B531" s="9"/>
      <c r="C531" s="10"/>
      <c r="D531" s="10"/>
      <c r="E531" s="10"/>
    </row>
    <row r="532" ht="22.5" customHeight="1">
      <c r="A532" s="10"/>
      <c r="B532" s="9"/>
      <c r="C532" s="10"/>
      <c r="D532" s="10"/>
      <c r="E532" s="10"/>
    </row>
    <row r="533" ht="22.5" customHeight="1">
      <c r="A533" s="10"/>
      <c r="B533" s="9"/>
      <c r="C533" s="10"/>
      <c r="D533" s="10"/>
      <c r="E533" s="10"/>
    </row>
    <row r="534" ht="22.5" customHeight="1">
      <c r="A534" s="10"/>
      <c r="B534" s="9"/>
      <c r="C534" s="10"/>
      <c r="D534" s="10"/>
      <c r="E534" s="10"/>
    </row>
    <row r="535" ht="22.5" customHeight="1">
      <c r="A535" s="10"/>
      <c r="B535" s="9"/>
      <c r="C535" s="10"/>
      <c r="D535" s="10"/>
      <c r="E535" s="10"/>
    </row>
    <row r="536" ht="22.5" customHeight="1">
      <c r="A536" s="10"/>
      <c r="B536" s="9"/>
      <c r="C536" s="10"/>
      <c r="D536" s="10"/>
      <c r="E536" s="10"/>
    </row>
    <row r="537" ht="22.5" customHeight="1">
      <c r="A537" s="10"/>
      <c r="B537" s="9"/>
      <c r="C537" s="10"/>
      <c r="D537" s="10"/>
      <c r="E537" s="10"/>
    </row>
    <row r="538" ht="22.5" customHeight="1">
      <c r="A538" s="10"/>
      <c r="B538" s="9"/>
      <c r="C538" s="10"/>
      <c r="D538" s="10"/>
      <c r="E538" s="10"/>
    </row>
    <row r="539" ht="22.5" customHeight="1">
      <c r="A539" s="10"/>
      <c r="B539" s="9"/>
      <c r="C539" s="10"/>
      <c r="D539" s="10"/>
      <c r="E539" s="10"/>
    </row>
    <row r="540" ht="22.5" customHeight="1">
      <c r="A540" s="10"/>
      <c r="B540" s="9"/>
      <c r="C540" s="10"/>
      <c r="D540" s="10"/>
      <c r="E540" s="10"/>
    </row>
    <row r="541" ht="22.5" customHeight="1">
      <c r="A541" s="10"/>
      <c r="B541" s="9"/>
      <c r="C541" s="10"/>
      <c r="D541" s="10"/>
      <c r="E541" s="10"/>
    </row>
    <row r="542" ht="22.5" customHeight="1">
      <c r="A542" s="10"/>
      <c r="B542" s="9"/>
      <c r="C542" s="10"/>
      <c r="D542" s="10"/>
      <c r="E542" s="10"/>
    </row>
    <row r="543" ht="22.5" customHeight="1">
      <c r="A543" s="10"/>
      <c r="B543" s="9"/>
      <c r="C543" s="10"/>
      <c r="D543" s="10"/>
      <c r="E543" s="10"/>
    </row>
    <row r="544" ht="22.5" customHeight="1">
      <c r="A544" s="10"/>
      <c r="B544" s="9"/>
      <c r="C544" s="10"/>
      <c r="D544" s="10"/>
      <c r="E544" s="10"/>
    </row>
    <row r="545" ht="22.5" customHeight="1">
      <c r="A545" s="10"/>
      <c r="B545" s="9"/>
      <c r="C545" s="10"/>
      <c r="D545" s="10"/>
      <c r="E545" s="10"/>
    </row>
    <row r="546" ht="22.5" customHeight="1">
      <c r="A546" s="10"/>
      <c r="B546" s="9"/>
      <c r="C546" s="10"/>
      <c r="D546" s="10"/>
      <c r="E546" s="10"/>
    </row>
    <row r="547" ht="22.5" customHeight="1">
      <c r="A547" s="10"/>
      <c r="B547" s="9"/>
      <c r="C547" s="10"/>
      <c r="D547" s="10"/>
      <c r="E547" s="10"/>
    </row>
    <row r="548" ht="22.5" customHeight="1">
      <c r="A548" s="10"/>
      <c r="B548" s="9"/>
      <c r="C548" s="10"/>
      <c r="D548" s="10"/>
      <c r="E548" s="10"/>
    </row>
    <row r="549" ht="22.5" customHeight="1">
      <c r="A549" s="10"/>
      <c r="B549" s="9"/>
      <c r="C549" s="10"/>
      <c r="D549" s="10"/>
      <c r="E549" s="10"/>
    </row>
    <row r="550" ht="22.5" customHeight="1">
      <c r="A550" s="10"/>
      <c r="B550" s="9"/>
      <c r="C550" s="10"/>
      <c r="D550" s="10"/>
      <c r="E550" s="10"/>
    </row>
    <row r="551" ht="22.5" customHeight="1">
      <c r="A551" s="10"/>
      <c r="B551" s="9"/>
      <c r="C551" s="10"/>
      <c r="D551" s="10"/>
      <c r="E551" s="10"/>
    </row>
    <row r="552" ht="22.5" customHeight="1">
      <c r="A552" s="10"/>
      <c r="B552" s="9"/>
      <c r="C552" s="10"/>
      <c r="D552" s="10"/>
      <c r="E552" s="10"/>
    </row>
    <row r="553" ht="22.5" customHeight="1">
      <c r="A553" s="10"/>
      <c r="B553" s="9"/>
      <c r="C553" s="10"/>
      <c r="D553" s="10"/>
      <c r="E553" s="10"/>
    </row>
    <row r="554" ht="22.5" customHeight="1">
      <c r="A554" s="10"/>
      <c r="B554" s="9"/>
      <c r="C554" s="10"/>
      <c r="D554" s="10"/>
      <c r="E554" s="10"/>
    </row>
    <row r="555" ht="22.5" customHeight="1">
      <c r="A555" s="10"/>
      <c r="B555" s="9"/>
      <c r="C555" s="10"/>
      <c r="D555" s="10"/>
      <c r="E555" s="10"/>
    </row>
    <row r="556" ht="22.5" customHeight="1">
      <c r="A556" s="10"/>
      <c r="B556" s="9"/>
      <c r="C556" s="10"/>
      <c r="D556" s="10"/>
      <c r="E556" s="10"/>
    </row>
    <row r="557" ht="22.5" customHeight="1">
      <c r="A557" s="10"/>
      <c r="B557" s="9"/>
      <c r="C557" s="10"/>
      <c r="D557" s="10"/>
      <c r="E557" s="10"/>
    </row>
    <row r="558" ht="22.5" customHeight="1">
      <c r="A558" s="10"/>
      <c r="B558" s="9"/>
      <c r="C558" s="10"/>
      <c r="D558" s="10"/>
      <c r="E558" s="10"/>
    </row>
    <row r="559" ht="22.5" customHeight="1">
      <c r="A559" s="10"/>
      <c r="B559" s="9"/>
      <c r="C559" s="10"/>
      <c r="D559" s="10"/>
      <c r="E559" s="10"/>
    </row>
    <row r="560" ht="22.5" customHeight="1">
      <c r="A560" s="10"/>
      <c r="B560" s="9"/>
      <c r="C560" s="10"/>
      <c r="D560" s="10"/>
      <c r="E560" s="10"/>
    </row>
    <row r="561" ht="22.5" customHeight="1">
      <c r="A561" s="10"/>
      <c r="B561" s="9"/>
      <c r="C561" s="10"/>
      <c r="D561" s="10"/>
      <c r="E561" s="10"/>
    </row>
    <row r="562" ht="22.5" customHeight="1">
      <c r="A562" s="10"/>
      <c r="B562" s="9"/>
      <c r="C562" s="10"/>
      <c r="D562" s="10"/>
      <c r="E562" s="10"/>
    </row>
    <row r="563" ht="22.5" customHeight="1">
      <c r="A563" s="10"/>
      <c r="B563" s="9"/>
      <c r="C563" s="10"/>
      <c r="D563" s="10"/>
      <c r="E563" s="10"/>
    </row>
    <row r="564" ht="22.5" customHeight="1">
      <c r="A564" s="10"/>
      <c r="B564" s="9"/>
      <c r="C564" s="10"/>
      <c r="D564" s="10"/>
      <c r="E564" s="10"/>
    </row>
    <row r="565" ht="22.5" customHeight="1">
      <c r="A565" s="10"/>
      <c r="B565" s="9"/>
      <c r="C565" s="10"/>
      <c r="D565" s="10"/>
      <c r="E565" s="10"/>
    </row>
    <row r="566" ht="22.5" customHeight="1">
      <c r="A566" s="10"/>
      <c r="B566" s="9"/>
      <c r="C566" s="10"/>
      <c r="D566" s="10"/>
      <c r="E566" s="10"/>
    </row>
    <row r="567" ht="22.5" customHeight="1">
      <c r="A567" s="10"/>
      <c r="B567" s="9"/>
      <c r="C567" s="10"/>
      <c r="D567" s="10"/>
      <c r="E567" s="10"/>
    </row>
    <row r="568" ht="22.5" customHeight="1">
      <c r="A568" s="10"/>
      <c r="B568" s="9"/>
      <c r="C568" s="10"/>
      <c r="D568" s="10"/>
      <c r="E568" s="10"/>
    </row>
    <row r="569" ht="22.5" customHeight="1">
      <c r="A569" s="10"/>
      <c r="B569" s="9"/>
      <c r="C569" s="10"/>
      <c r="D569" s="10"/>
      <c r="E569" s="10"/>
    </row>
    <row r="570" ht="22.5" customHeight="1">
      <c r="A570" s="10"/>
      <c r="B570" s="9"/>
      <c r="C570" s="10"/>
      <c r="D570" s="10"/>
      <c r="E570" s="10"/>
    </row>
    <row r="571" ht="22.5" customHeight="1">
      <c r="A571" s="10"/>
      <c r="B571" s="9"/>
      <c r="C571" s="10"/>
      <c r="D571" s="10"/>
      <c r="E571" s="10"/>
    </row>
    <row r="572" ht="22.5" customHeight="1">
      <c r="A572" s="10"/>
      <c r="B572" s="9"/>
      <c r="C572" s="10"/>
      <c r="D572" s="10"/>
      <c r="E572" s="10"/>
    </row>
    <row r="573" ht="22.5" customHeight="1">
      <c r="A573" s="10"/>
      <c r="B573" s="9"/>
      <c r="C573" s="10"/>
      <c r="D573" s="10"/>
      <c r="E573" s="10"/>
    </row>
    <row r="574" ht="22.5" customHeight="1">
      <c r="A574" s="10"/>
      <c r="B574" s="9"/>
      <c r="C574" s="10"/>
      <c r="D574" s="10"/>
      <c r="E574" s="10"/>
    </row>
    <row r="575" ht="22.5" customHeight="1">
      <c r="A575" s="10"/>
      <c r="B575" s="9"/>
      <c r="C575" s="10"/>
      <c r="D575" s="10"/>
      <c r="E575" s="10"/>
    </row>
    <row r="576" ht="22.5" customHeight="1">
      <c r="A576" s="10"/>
      <c r="B576" s="9"/>
      <c r="C576" s="10"/>
      <c r="D576" s="10"/>
      <c r="E576" s="10"/>
    </row>
    <row r="577" ht="22.5" customHeight="1">
      <c r="A577" s="10"/>
      <c r="B577" s="9"/>
      <c r="C577" s="10"/>
      <c r="D577" s="10"/>
      <c r="E577" s="10"/>
    </row>
    <row r="578" ht="22.5" customHeight="1">
      <c r="A578" s="10"/>
      <c r="B578" s="9"/>
      <c r="C578" s="10"/>
      <c r="D578" s="10"/>
      <c r="E578" s="10"/>
    </row>
    <row r="579" ht="22.5" customHeight="1">
      <c r="A579" s="10"/>
      <c r="B579" s="9"/>
      <c r="C579" s="10"/>
      <c r="D579" s="10"/>
      <c r="E579" s="10"/>
    </row>
    <row r="580" ht="22.5" customHeight="1">
      <c r="A580" s="10"/>
      <c r="B580" s="9"/>
      <c r="C580" s="10"/>
      <c r="D580" s="10"/>
      <c r="E580" s="10"/>
    </row>
    <row r="581" ht="22.5" customHeight="1">
      <c r="A581" s="10"/>
      <c r="B581" s="9"/>
      <c r="C581" s="10"/>
      <c r="D581" s="10"/>
      <c r="E581" s="10"/>
    </row>
    <row r="582" ht="22.5" customHeight="1">
      <c r="A582" s="10"/>
      <c r="B582" s="9"/>
      <c r="C582" s="10"/>
      <c r="D582" s="10"/>
      <c r="E582" s="10"/>
    </row>
    <row r="583" ht="22.5" customHeight="1">
      <c r="A583" s="10"/>
      <c r="B583" s="9"/>
      <c r="C583" s="10"/>
      <c r="D583" s="10"/>
      <c r="E583" s="10"/>
    </row>
    <row r="584" ht="22.5" customHeight="1">
      <c r="A584" s="10"/>
      <c r="B584" s="9"/>
      <c r="C584" s="10"/>
      <c r="D584" s="10"/>
      <c r="E584" s="10"/>
    </row>
    <row r="585" ht="22.5" customHeight="1">
      <c r="A585" s="10"/>
      <c r="B585" s="9"/>
      <c r="C585" s="10"/>
      <c r="D585" s="10"/>
      <c r="E585" s="10"/>
    </row>
    <row r="586" ht="22.5" customHeight="1">
      <c r="A586" s="10"/>
      <c r="B586" s="9"/>
      <c r="C586" s="10"/>
      <c r="D586" s="10"/>
      <c r="E586" s="10"/>
    </row>
    <row r="587" ht="22.5" customHeight="1">
      <c r="A587" s="10"/>
      <c r="B587" s="9"/>
      <c r="C587" s="10"/>
      <c r="D587" s="10"/>
      <c r="E587" s="10"/>
    </row>
    <row r="588" ht="22.5" customHeight="1">
      <c r="A588" s="10"/>
      <c r="B588" s="9"/>
      <c r="C588" s="10"/>
      <c r="D588" s="10"/>
      <c r="E588" s="10"/>
    </row>
    <row r="589" ht="22.5" customHeight="1">
      <c r="A589" s="10"/>
      <c r="B589" s="9"/>
      <c r="C589" s="10"/>
      <c r="D589" s="10"/>
      <c r="E589" s="10"/>
    </row>
    <row r="590" ht="22.5" customHeight="1">
      <c r="A590" s="10"/>
      <c r="B590" s="9"/>
      <c r="C590" s="10"/>
      <c r="D590" s="10"/>
      <c r="E590" s="10"/>
    </row>
    <row r="591" ht="22.5" customHeight="1">
      <c r="A591" s="10"/>
      <c r="B591" s="9"/>
      <c r="C591" s="10"/>
      <c r="D591" s="10"/>
      <c r="E591" s="10"/>
    </row>
    <row r="592" ht="22.5" customHeight="1">
      <c r="A592" s="10"/>
      <c r="B592" s="9"/>
      <c r="C592" s="10"/>
      <c r="D592" s="10"/>
      <c r="E592" s="10"/>
    </row>
    <row r="593" ht="22.5" customHeight="1">
      <c r="A593" s="10"/>
      <c r="B593" s="9"/>
      <c r="C593" s="10"/>
      <c r="D593" s="10"/>
      <c r="E593" s="10"/>
    </row>
    <row r="594" ht="22.5" customHeight="1">
      <c r="A594" s="10"/>
      <c r="B594" s="9"/>
      <c r="C594" s="10"/>
      <c r="D594" s="10"/>
      <c r="E594" s="10"/>
    </row>
    <row r="595" ht="22.5" customHeight="1">
      <c r="A595" s="10"/>
      <c r="B595" s="9"/>
      <c r="C595" s="10"/>
      <c r="D595" s="10"/>
      <c r="E595" s="10"/>
    </row>
    <row r="596" ht="22.5" customHeight="1">
      <c r="A596" s="10"/>
      <c r="B596" s="9"/>
      <c r="C596" s="10"/>
      <c r="D596" s="10"/>
      <c r="E596" s="10"/>
    </row>
    <row r="597" ht="22.5" customHeight="1">
      <c r="A597" s="10"/>
      <c r="B597" s="9"/>
      <c r="C597" s="10"/>
      <c r="D597" s="10"/>
      <c r="E597" s="10"/>
    </row>
    <row r="598" ht="22.5" customHeight="1">
      <c r="A598" s="10"/>
      <c r="B598" s="9"/>
      <c r="C598" s="10"/>
      <c r="D598" s="10"/>
      <c r="E598" s="10"/>
    </row>
    <row r="599" ht="22.5" customHeight="1">
      <c r="A599" s="10"/>
      <c r="B599" s="9"/>
      <c r="C599" s="10"/>
      <c r="D599" s="10"/>
      <c r="E599" s="10"/>
    </row>
    <row r="600" ht="22.5" customHeight="1">
      <c r="A600" s="10"/>
      <c r="B600" s="9"/>
      <c r="C600" s="10"/>
      <c r="D600" s="10"/>
      <c r="E600" s="10"/>
    </row>
    <row r="601" ht="22.5" customHeight="1">
      <c r="A601" s="10"/>
      <c r="B601" s="9"/>
      <c r="C601" s="10"/>
      <c r="D601" s="10"/>
      <c r="E601" s="10"/>
    </row>
    <row r="602" ht="22.5" customHeight="1">
      <c r="A602" s="10"/>
      <c r="B602" s="9"/>
      <c r="C602" s="10"/>
      <c r="D602" s="10"/>
      <c r="E602" s="10"/>
    </row>
    <row r="603" ht="22.5" customHeight="1">
      <c r="A603" s="10"/>
      <c r="B603" s="9"/>
      <c r="C603" s="10"/>
      <c r="D603" s="10"/>
      <c r="E603" s="10"/>
    </row>
    <row r="604" ht="22.5" customHeight="1">
      <c r="A604" s="10"/>
      <c r="B604" s="9"/>
      <c r="C604" s="10"/>
      <c r="D604" s="10"/>
      <c r="E604" s="10"/>
    </row>
    <row r="605" ht="22.5" customHeight="1">
      <c r="A605" s="10"/>
      <c r="B605" s="9"/>
      <c r="C605" s="10"/>
      <c r="D605" s="10"/>
      <c r="E605" s="10"/>
    </row>
    <row r="606" ht="22.5" customHeight="1">
      <c r="A606" s="10"/>
      <c r="B606" s="9"/>
      <c r="C606" s="10"/>
      <c r="D606" s="10"/>
      <c r="E606" s="10"/>
    </row>
    <row r="607" ht="22.5" customHeight="1">
      <c r="A607" s="10"/>
      <c r="B607" s="9"/>
      <c r="C607" s="10"/>
      <c r="D607" s="10"/>
      <c r="E607" s="10"/>
    </row>
    <row r="608" ht="22.5" customHeight="1">
      <c r="A608" s="10"/>
      <c r="B608" s="9"/>
      <c r="C608" s="10"/>
      <c r="D608" s="10"/>
      <c r="E608" s="10"/>
    </row>
    <row r="609" ht="22.5" customHeight="1">
      <c r="A609" s="10"/>
      <c r="B609" s="9"/>
      <c r="C609" s="10"/>
      <c r="D609" s="10"/>
      <c r="E609" s="10"/>
    </row>
    <row r="610" ht="22.5" customHeight="1">
      <c r="A610" s="10"/>
      <c r="B610" s="9"/>
      <c r="C610" s="10"/>
      <c r="D610" s="10"/>
      <c r="E610" s="10"/>
    </row>
    <row r="611" ht="22.5" customHeight="1">
      <c r="A611" s="10"/>
      <c r="B611" s="9"/>
      <c r="C611" s="10"/>
      <c r="D611" s="10"/>
      <c r="E611" s="10"/>
    </row>
    <row r="612" ht="22.5" customHeight="1">
      <c r="A612" s="10"/>
      <c r="B612" s="9"/>
      <c r="C612" s="10"/>
      <c r="D612" s="10"/>
      <c r="E612" s="10"/>
    </row>
    <row r="613" ht="22.5" customHeight="1">
      <c r="A613" s="10"/>
      <c r="B613" s="9"/>
      <c r="C613" s="10"/>
      <c r="D613" s="10"/>
      <c r="E613" s="10"/>
    </row>
    <row r="614" ht="22.5" customHeight="1">
      <c r="A614" s="10"/>
      <c r="B614" s="9"/>
      <c r="C614" s="10"/>
      <c r="D614" s="10"/>
      <c r="E614" s="10"/>
    </row>
    <row r="615" ht="22.5" customHeight="1">
      <c r="A615" s="10"/>
      <c r="B615" s="9"/>
      <c r="C615" s="10"/>
      <c r="D615" s="10"/>
      <c r="E615" s="10"/>
    </row>
    <row r="616" ht="22.5" customHeight="1">
      <c r="A616" s="10"/>
      <c r="B616" s="9"/>
      <c r="C616" s="10"/>
      <c r="D616" s="10"/>
      <c r="E616" s="10"/>
    </row>
    <row r="617" ht="22.5" customHeight="1">
      <c r="A617" s="10"/>
      <c r="B617" s="9"/>
      <c r="C617" s="10"/>
      <c r="D617" s="10"/>
      <c r="E617" s="10"/>
    </row>
    <row r="618" ht="22.5" customHeight="1">
      <c r="A618" s="10"/>
      <c r="B618" s="9"/>
      <c r="C618" s="10"/>
      <c r="D618" s="10"/>
      <c r="E618" s="10"/>
    </row>
    <row r="619" ht="22.5" customHeight="1">
      <c r="A619" s="10"/>
      <c r="B619" s="9"/>
      <c r="C619" s="10"/>
      <c r="D619" s="10"/>
      <c r="E619" s="10"/>
    </row>
    <row r="620" ht="22.5" customHeight="1">
      <c r="A620" s="10"/>
      <c r="B620" s="9"/>
      <c r="C620" s="10"/>
      <c r="D620" s="10"/>
      <c r="E620" s="10"/>
    </row>
    <row r="621" ht="22.5" customHeight="1">
      <c r="A621" s="10"/>
      <c r="B621" s="9"/>
      <c r="C621" s="10"/>
      <c r="D621" s="10"/>
      <c r="E621" s="10"/>
    </row>
    <row r="622" ht="22.5" customHeight="1">
      <c r="A622" s="10"/>
      <c r="B622" s="9"/>
      <c r="C622" s="10"/>
      <c r="D622" s="10"/>
      <c r="E622" s="10"/>
    </row>
    <row r="623" ht="22.5" customHeight="1">
      <c r="A623" s="10"/>
      <c r="B623" s="9"/>
      <c r="C623" s="10"/>
      <c r="D623" s="10"/>
      <c r="E623" s="10"/>
    </row>
    <row r="624" ht="22.5" customHeight="1">
      <c r="A624" s="10"/>
      <c r="B624" s="9"/>
      <c r="C624" s="10"/>
      <c r="D624" s="10"/>
      <c r="E624" s="10"/>
    </row>
    <row r="625" ht="22.5" customHeight="1">
      <c r="A625" s="10"/>
      <c r="B625" s="9"/>
      <c r="C625" s="10"/>
      <c r="D625" s="10"/>
      <c r="E625" s="10"/>
    </row>
    <row r="626" ht="22.5" customHeight="1">
      <c r="A626" s="10"/>
      <c r="B626" s="9"/>
      <c r="C626" s="10"/>
      <c r="D626" s="10"/>
      <c r="E626" s="10"/>
    </row>
    <row r="627" ht="22.5" customHeight="1">
      <c r="A627" s="10"/>
      <c r="B627" s="9"/>
      <c r="C627" s="10"/>
      <c r="D627" s="10"/>
      <c r="E627" s="10"/>
    </row>
    <row r="628" ht="22.5" customHeight="1">
      <c r="A628" s="10"/>
      <c r="B628" s="9"/>
      <c r="C628" s="10"/>
      <c r="D628" s="10"/>
      <c r="E628" s="10"/>
    </row>
    <row r="629" ht="22.5" customHeight="1">
      <c r="A629" s="10"/>
      <c r="B629" s="9"/>
      <c r="C629" s="10"/>
      <c r="D629" s="10"/>
      <c r="E629" s="10"/>
    </row>
    <row r="630" ht="22.5" customHeight="1">
      <c r="A630" s="10"/>
      <c r="B630" s="9"/>
      <c r="C630" s="10"/>
      <c r="D630" s="10"/>
      <c r="E630" s="10"/>
    </row>
    <row r="631" ht="22.5" customHeight="1">
      <c r="A631" s="10"/>
      <c r="B631" s="9"/>
      <c r="C631" s="10"/>
      <c r="D631" s="10"/>
      <c r="E631" s="10"/>
    </row>
    <row r="632" ht="22.5" customHeight="1">
      <c r="A632" s="10"/>
      <c r="B632" s="9"/>
      <c r="C632" s="10"/>
      <c r="D632" s="10"/>
      <c r="E632" s="10"/>
    </row>
    <row r="633" ht="22.5" customHeight="1">
      <c r="A633" s="10"/>
      <c r="B633" s="9"/>
      <c r="C633" s="10"/>
      <c r="D633" s="10"/>
      <c r="E633" s="10"/>
    </row>
    <row r="634" ht="22.5" customHeight="1">
      <c r="A634" s="10"/>
      <c r="B634" s="9"/>
      <c r="C634" s="10"/>
      <c r="D634" s="10"/>
      <c r="E634" s="10"/>
    </row>
    <row r="635" ht="22.5" customHeight="1">
      <c r="A635" s="10"/>
      <c r="B635" s="9"/>
      <c r="C635" s="10"/>
      <c r="D635" s="10"/>
      <c r="E635" s="10"/>
    </row>
    <row r="636" ht="22.5" customHeight="1">
      <c r="A636" s="10"/>
      <c r="B636" s="9"/>
      <c r="C636" s="10"/>
      <c r="D636" s="10"/>
      <c r="E636" s="10"/>
    </row>
    <row r="637" ht="22.5" customHeight="1">
      <c r="A637" s="10"/>
      <c r="B637" s="9"/>
      <c r="C637" s="10"/>
      <c r="D637" s="10"/>
      <c r="E637" s="10"/>
    </row>
    <row r="638" ht="22.5" customHeight="1">
      <c r="A638" s="10"/>
      <c r="B638" s="9"/>
      <c r="C638" s="10"/>
      <c r="D638" s="10"/>
      <c r="E638" s="10"/>
    </row>
    <row r="639" ht="22.5" customHeight="1">
      <c r="A639" s="10"/>
      <c r="B639" s="9"/>
      <c r="C639" s="10"/>
      <c r="D639" s="10"/>
      <c r="E639" s="10"/>
    </row>
    <row r="640" ht="22.5" customHeight="1">
      <c r="A640" s="10"/>
      <c r="B640" s="9"/>
      <c r="C640" s="10"/>
      <c r="D640" s="10"/>
      <c r="E640" s="10"/>
    </row>
    <row r="641" ht="22.5" customHeight="1">
      <c r="A641" s="10"/>
      <c r="B641" s="9"/>
      <c r="C641" s="10"/>
      <c r="D641" s="10"/>
      <c r="E641" s="10"/>
    </row>
    <row r="642" ht="22.5" customHeight="1">
      <c r="A642" s="10"/>
      <c r="B642" s="9"/>
      <c r="C642" s="10"/>
      <c r="D642" s="10"/>
      <c r="E642" s="10"/>
    </row>
    <row r="643" ht="22.5" customHeight="1">
      <c r="A643" s="10"/>
      <c r="B643" s="9"/>
      <c r="C643" s="10"/>
      <c r="D643" s="10"/>
      <c r="E643" s="10"/>
    </row>
    <row r="644" ht="22.5" customHeight="1">
      <c r="A644" s="10"/>
      <c r="B644" s="9"/>
      <c r="C644" s="10"/>
      <c r="D644" s="10"/>
      <c r="E644" s="10"/>
    </row>
    <row r="645" ht="22.5" customHeight="1">
      <c r="A645" s="10"/>
      <c r="B645" s="9"/>
      <c r="C645" s="10"/>
      <c r="D645" s="10"/>
      <c r="E645" s="10"/>
    </row>
    <row r="646" ht="22.5" customHeight="1">
      <c r="A646" s="10"/>
      <c r="B646" s="9"/>
      <c r="C646" s="10"/>
      <c r="D646" s="10"/>
      <c r="E646" s="10"/>
    </row>
    <row r="647" ht="22.5" customHeight="1">
      <c r="A647" s="10"/>
      <c r="B647" s="9"/>
      <c r="C647" s="10"/>
      <c r="D647" s="10"/>
      <c r="E647" s="10"/>
    </row>
    <row r="648" ht="22.5" customHeight="1">
      <c r="A648" s="10"/>
      <c r="B648" s="9"/>
      <c r="C648" s="10"/>
      <c r="D648" s="10"/>
      <c r="E648" s="10"/>
    </row>
    <row r="649" ht="22.5" customHeight="1">
      <c r="A649" s="10"/>
      <c r="B649" s="9"/>
      <c r="C649" s="10"/>
      <c r="D649" s="10"/>
      <c r="E649" s="10"/>
    </row>
    <row r="650" ht="22.5" customHeight="1">
      <c r="A650" s="10"/>
      <c r="B650" s="9"/>
      <c r="C650" s="10"/>
      <c r="D650" s="10"/>
      <c r="E650" s="10"/>
    </row>
    <row r="651" ht="22.5" customHeight="1">
      <c r="A651" s="10"/>
      <c r="B651" s="9"/>
      <c r="C651" s="10"/>
      <c r="D651" s="10"/>
      <c r="E651" s="10"/>
    </row>
    <row r="652" ht="22.5" customHeight="1">
      <c r="A652" s="10"/>
      <c r="B652" s="9"/>
      <c r="C652" s="10"/>
      <c r="D652" s="10"/>
      <c r="E652" s="10"/>
    </row>
    <row r="653" ht="22.5" customHeight="1">
      <c r="A653" s="10"/>
      <c r="B653" s="9"/>
      <c r="C653" s="10"/>
      <c r="D653" s="10"/>
      <c r="E653" s="10"/>
    </row>
    <row r="654" ht="22.5" customHeight="1">
      <c r="A654" s="10"/>
      <c r="B654" s="9"/>
      <c r="C654" s="10"/>
      <c r="D654" s="10"/>
      <c r="E654" s="10"/>
    </row>
    <row r="655" ht="22.5" customHeight="1">
      <c r="A655" s="10"/>
      <c r="B655" s="9"/>
      <c r="C655" s="10"/>
      <c r="D655" s="10"/>
      <c r="E655" s="10"/>
    </row>
    <row r="656" ht="22.5" customHeight="1">
      <c r="A656" s="10"/>
      <c r="B656" s="9"/>
      <c r="C656" s="10"/>
      <c r="D656" s="10"/>
      <c r="E656" s="10"/>
    </row>
    <row r="657" ht="22.5" customHeight="1">
      <c r="A657" s="10"/>
      <c r="B657" s="9"/>
      <c r="C657" s="10"/>
      <c r="D657" s="10"/>
      <c r="E657" s="10"/>
    </row>
    <row r="658" ht="22.5" customHeight="1">
      <c r="A658" s="10"/>
      <c r="B658" s="9"/>
      <c r="C658" s="10"/>
      <c r="D658" s="10"/>
      <c r="E658" s="10"/>
    </row>
    <row r="659" ht="22.5" customHeight="1">
      <c r="A659" s="10"/>
      <c r="B659" s="9"/>
      <c r="C659" s="10"/>
      <c r="D659" s="10"/>
      <c r="E659" s="10"/>
    </row>
    <row r="660" ht="22.5" customHeight="1">
      <c r="A660" s="10"/>
      <c r="B660" s="9"/>
      <c r="C660" s="10"/>
      <c r="D660" s="10"/>
      <c r="E660" s="10"/>
    </row>
    <row r="661" ht="22.5" customHeight="1">
      <c r="A661" s="10"/>
      <c r="B661" s="9"/>
      <c r="C661" s="10"/>
      <c r="D661" s="10"/>
      <c r="E661" s="10"/>
    </row>
    <row r="662" ht="22.5" customHeight="1">
      <c r="A662" s="10"/>
      <c r="B662" s="9"/>
      <c r="C662" s="10"/>
      <c r="D662" s="10"/>
      <c r="E662" s="10"/>
    </row>
    <row r="663" ht="22.5" customHeight="1">
      <c r="A663" s="10"/>
      <c r="B663" s="9"/>
      <c r="C663" s="10"/>
      <c r="D663" s="10"/>
      <c r="E663" s="10"/>
    </row>
    <row r="664" ht="22.5" customHeight="1">
      <c r="A664" s="10"/>
      <c r="B664" s="9"/>
      <c r="C664" s="10"/>
      <c r="D664" s="10"/>
      <c r="E664" s="10"/>
    </row>
    <row r="665" ht="22.5" customHeight="1">
      <c r="A665" s="10"/>
      <c r="B665" s="9"/>
      <c r="C665" s="10"/>
      <c r="D665" s="10"/>
      <c r="E665" s="10"/>
    </row>
    <row r="666" ht="22.5" customHeight="1">
      <c r="A666" s="10"/>
      <c r="B666" s="9"/>
      <c r="C666" s="10"/>
      <c r="D666" s="10"/>
      <c r="E666" s="10"/>
    </row>
    <row r="667" ht="22.5" customHeight="1">
      <c r="A667" s="10"/>
      <c r="B667" s="9"/>
      <c r="C667" s="10"/>
      <c r="D667" s="10"/>
      <c r="E667" s="10"/>
    </row>
    <row r="668" ht="22.5" customHeight="1">
      <c r="A668" s="10"/>
      <c r="B668" s="9"/>
      <c r="C668" s="10"/>
      <c r="D668" s="10"/>
      <c r="E668" s="10"/>
    </row>
    <row r="669" ht="22.5" customHeight="1">
      <c r="A669" s="10"/>
      <c r="B669" s="9"/>
      <c r="C669" s="10"/>
      <c r="D669" s="10"/>
      <c r="E669" s="10"/>
    </row>
    <row r="670" ht="22.5" customHeight="1">
      <c r="A670" s="10"/>
      <c r="B670" s="9"/>
      <c r="C670" s="10"/>
      <c r="D670" s="10"/>
      <c r="E670" s="10"/>
    </row>
    <row r="671" ht="22.5" customHeight="1">
      <c r="A671" s="10"/>
      <c r="B671" s="9"/>
      <c r="C671" s="10"/>
      <c r="D671" s="10"/>
      <c r="E671" s="10"/>
    </row>
    <row r="672" ht="22.5" customHeight="1">
      <c r="A672" s="10"/>
      <c r="B672" s="9"/>
      <c r="C672" s="10"/>
      <c r="D672" s="10"/>
      <c r="E672" s="10"/>
    </row>
    <row r="673" ht="22.5" customHeight="1">
      <c r="A673" s="10"/>
      <c r="B673" s="9"/>
      <c r="C673" s="10"/>
      <c r="D673" s="10"/>
      <c r="E673" s="10"/>
    </row>
    <row r="674" ht="22.5" customHeight="1">
      <c r="A674" s="10"/>
      <c r="B674" s="9"/>
      <c r="C674" s="10"/>
      <c r="D674" s="10"/>
      <c r="E674" s="10"/>
    </row>
    <row r="675" ht="22.5" customHeight="1">
      <c r="A675" s="10"/>
      <c r="B675" s="9"/>
      <c r="C675" s="10"/>
      <c r="D675" s="10"/>
      <c r="E675" s="10"/>
    </row>
    <row r="676" ht="22.5" customHeight="1">
      <c r="A676" s="10"/>
      <c r="B676" s="9"/>
      <c r="C676" s="10"/>
      <c r="D676" s="10"/>
      <c r="E676" s="10"/>
    </row>
    <row r="677" ht="22.5" customHeight="1">
      <c r="A677" s="10"/>
      <c r="B677" s="9"/>
      <c r="C677" s="10"/>
      <c r="D677" s="10"/>
      <c r="E677" s="10"/>
    </row>
    <row r="678" ht="22.5" customHeight="1">
      <c r="A678" s="10"/>
      <c r="B678" s="9"/>
      <c r="C678" s="10"/>
      <c r="D678" s="10"/>
      <c r="E678" s="10"/>
    </row>
    <row r="679" ht="22.5" customHeight="1">
      <c r="A679" s="10"/>
      <c r="B679" s="9"/>
      <c r="C679" s="10"/>
      <c r="D679" s="10"/>
      <c r="E679" s="10"/>
    </row>
    <row r="680" ht="22.5" customHeight="1">
      <c r="A680" s="10"/>
      <c r="B680" s="9"/>
      <c r="C680" s="10"/>
      <c r="D680" s="10"/>
      <c r="E680" s="10"/>
    </row>
    <row r="681" ht="22.5" customHeight="1">
      <c r="A681" s="10"/>
      <c r="B681" s="9"/>
      <c r="C681" s="10"/>
      <c r="D681" s="10"/>
      <c r="E681" s="10"/>
    </row>
    <row r="682" ht="22.5" customHeight="1">
      <c r="A682" s="10"/>
      <c r="B682" s="9"/>
      <c r="C682" s="10"/>
      <c r="D682" s="10"/>
      <c r="E682" s="10"/>
    </row>
    <row r="683" ht="22.5" customHeight="1">
      <c r="A683" s="10"/>
      <c r="B683" s="9"/>
      <c r="C683" s="10"/>
      <c r="D683" s="10"/>
      <c r="E683" s="10"/>
    </row>
    <row r="684" ht="22.5" customHeight="1">
      <c r="A684" s="10"/>
      <c r="B684" s="9"/>
      <c r="C684" s="10"/>
      <c r="D684" s="10"/>
      <c r="E684" s="10"/>
    </row>
    <row r="685" ht="22.5" customHeight="1">
      <c r="A685" s="10"/>
      <c r="B685" s="9"/>
      <c r="C685" s="10"/>
      <c r="D685" s="10"/>
      <c r="E685" s="10"/>
    </row>
    <row r="686" ht="22.5" customHeight="1">
      <c r="A686" s="10"/>
      <c r="B686" s="9"/>
      <c r="C686" s="10"/>
      <c r="D686" s="10"/>
      <c r="E686" s="10"/>
    </row>
    <row r="687" ht="22.5" customHeight="1">
      <c r="A687" s="10"/>
      <c r="B687" s="9"/>
      <c r="C687" s="10"/>
      <c r="D687" s="10"/>
      <c r="E687" s="10"/>
    </row>
    <row r="688" ht="22.5" customHeight="1">
      <c r="A688" s="10"/>
      <c r="B688" s="9"/>
      <c r="C688" s="10"/>
      <c r="D688" s="10"/>
      <c r="E688" s="10"/>
    </row>
    <row r="689" ht="22.5" customHeight="1">
      <c r="A689" s="10"/>
      <c r="B689" s="9"/>
      <c r="C689" s="10"/>
      <c r="D689" s="10"/>
      <c r="E689" s="10"/>
    </row>
    <row r="690" ht="22.5" customHeight="1">
      <c r="A690" s="10"/>
      <c r="B690" s="9"/>
      <c r="C690" s="10"/>
      <c r="D690" s="10"/>
      <c r="E690" s="10"/>
    </row>
    <row r="691" ht="22.5" customHeight="1">
      <c r="A691" s="10"/>
      <c r="B691" s="9"/>
      <c r="C691" s="10"/>
      <c r="D691" s="10"/>
      <c r="E691" s="10"/>
    </row>
    <row r="692" ht="22.5" customHeight="1">
      <c r="A692" s="10"/>
      <c r="B692" s="9"/>
      <c r="C692" s="10"/>
      <c r="D692" s="10"/>
      <c r="E692" s="10"/>
    </row>
    <row r="693" ht="22.5" customHeight="1">
      <c r="A693" s="10"/>
      <c r="B693" s="9"/>
      <c r="C693" s="10"/>
      <c r="D693" s="10"/>
      <c r="E693" s="10"/>
    </row>
    <row r="694" ht="22.5" customHeight="1">
      <c r="A694" s="10"/>
      <c r="B694" s="9"/>
      <c r="C694" s="10"/>
      <c r="D694" s="10"/>
      <c r="E694" s="10"/>
    </row>
    <row r="695" ht="22.5" customHeight="1">
      <c r="A695" s="10"/>
      <c r="B695" s="9"/>
      <c r="C695" s="10"/>
      <c r="D695" s="10"/>
      <c r="E695" s="10"/>
    </row>
    <row r="696" ht="22.5" customHeight="1">
      <c r="A696" s="10"/>
      <c r="B696" s="9"/>
      <c r="C696" s="10"/>
      <c r="D696" s="10"/>
      <c r="E696" s="10"/>
    </row>
    <row r="697" ht="22.5" customHeight="1">
      <c r="A697" s="10"/>
      <c r="B697" s="9"/>
      <c r="C697" s="10"/>
      <c r="D697" s="10"/>
      <c r="E697" s="10"/>
    </row>
    <row r="698" ht="22.5" customHeight="1">
      <c r="A698" s="10"/>
      <c r="B698" s="9"/>
      <c r="C698" s="10"/>
      <c r="D698" s="10"/>
      <c r="E698" s="10"/>
    </row>
    <row r="699" ht="22.5" customHeight="1">
      <c r="A699" s="10"/>
      <c r="B699" s="9"/>
      <c r="C699" s="10"/>
      <c r="D699" s="10"/>
      <c r="E699" s="10"/>
    </row>
    <row r="700" ht="22.5" customHeight="1">
      <c r="A700" s="10"/>
      <c r="B700" s="9"/>
      <c r="C700" s="10"/>
      <c r="D700" s="10"/>
      <c r="E700" s="10"/>
    </row>
    <row r="701" ht="22.5" customHeight="1">
      <c r="A701" s="10"/>
      <c r="B701" s="9"/>
      <c r="C701" s="10"/>
      <c r="D701" s="10"/>
      <c r="E701" s="10"/>
    </row>
    <row r="702" ht="22.5" customHeight="1">
      <c r="A702" s="10"/>
      <c r="B702" s="9"/>
      <c r="C702" s="10"/>
      <c r="D702" s="10"/>
      <c r="E702" s="10"/>
    </row>
    <row r="703" ht="22.5" customHeight="1">
      <c r="A703" s="10"/>
      <c r="B703" s="9"/>
      <c r="C703" s="10"/>
      <c r="D703" s="10"/>
      <c r="E703" s="10"/>
    </row>
    <row r="704" ht="22.5" customHeight="1">
      <c r="A704" s="10"/>
      <c r="B704" s="9"/>
      <c r="C704" s="10"/>
      <c r="D704" s="10"/>
      <c r="E704" s="10"/>
    </row>
    <row r="705" ht="22.5" customHeight="1">
      <c r="A705" s="10"/>
      <c r="B705" s="9"/>
      <c r="C705" s="10"/>
      <c r="D705" s="10"/>
      <c r="E705" s="10"/>
    </row>
    <row r="706" ht="22.5" customHeight="1">
      <c r="A706" s="10"/>
      <c r="B706" s="9"/>
      <c r="C706" s="10"/>
      <c r="D706" s="10"/>
      <c r="E706" s="10"/>
    </row>
    <row r="707" ht="22.5" customHeight="1">
      <c r="A707" s="10"/>
      <c r="B707" s="9"/>
      <c r="C707" s="10"/>
      <c r="D707" s="10"/>
      <c r="E707" s="10"/>
    </row>
    <row r="708" ht="22.5" customHeight="1">
      <c r="A708" s="10"/>
      <c r="B708" s="9"/>
      <c r="C708" s="10"/>
      <c r="D708" s="10"/>
      <c r="E708" s="10"/>
    </row>
    <row r="709" ht="22.5" customHeight="1">
      <c r="A709" s="10"/>
      <c r="B709" s="9"/>
      <c r="C709" s="10"/>
      <c r="D709" s="10"/>
      <c r="E709" s="10"/>
    </row>
    <row r="710" ht="22.5" customHeight="1">
      <c r="A710" s="10"/>
      <c r="B710" s="9"/>
      <c r="C710" s="10"/>
      <c r="D710" s="10"/>
      <c r="E710" s="10"/>
    </row>
    <row r="711" ht="22.5" customHeight="1">
      <c r="A711" s="10"/>
      <c r="B711" s="9"/>
      <c r="C711" s="10"/>
      <c r="D711" s="10"/>
      <c r="E711" s="10"/>
    </row>
    <row r="712" ht="22.5" customHeight="1">
      <c r="A712" s="10"/>
      <c r="B712" s="9"/>
      <c r="C712" s="10"/>
      <c r="D712" s="10"/>
      <c r="E712" s="10"/>
    </row>
    <row r="713" ht="22.5" customHeight="1">
      <c r="A713" s="10"/>
      <c r="B713" s="9"/>
      <c r="C713" s="10"/>
      <c r="D713" s="10"/>
      <c r="E713" s="10"/>
    </row>
    <row r="714" ht="22.5" customHeight="1">
      <c r="A714" s="10"/>
      <c r="B714" s="9"/>
      <c r="C714" s="10"/>
      <c r="D714" s="10"/>
      <c r="E714" s="10"/>
    </row>
    <row r="715" ht="22.5" customHeight="1">
      <c r="A715" s="10"/>
      <c r="B715" s="9"/>
      <c r="C715" s="10"/>
      <c r="D715" s="10"/>
      <c r="E715" s="10"/>
    </row>
    <row r="716" ht="22.5" customHeight="1">
      <c r="A716" s="10"/>
      <c r="B716" s="9"/>
      <c r="C716" s="10"/>
      <c r="D716" s="10"/>
      <c r="E716" s="10"/>
    </row>
    <row r="717" ht="22.5" customHeight="1">
      <c r="A717" s="10"/>
      <c r="B717" s="9"/>
      <c r="C717" s="10"/>
      <c r="D717" s="10"/>
      <c r="E717" s="10"/>
    </row>
    <row r="718" ht="22.5" customHeight="1">
      <c r="A718" s="10"/>
      <c r="B718" s="9"/>
      <c r="C718" s="10"/>
      <c r="D718" s="10"/>
      <c r="E718" s="10"/>
    </row>
    <row r="719" ht="22.5" customHeight="1">
      <c r="A719" s="10"/>
      <c r="B719" s="9"/>
      <c r="C719" s="10"/>
      <c r="D719" s="10"/>
      <c r="E719" s="10"/>
    </row>
    <row r="720" ht="22.5" customHeight="1">
      <c r="A720" s="10"/>
      <c r="B720" s="9"/>
      <c r="C720" s="10"/>
      <c r="D720" s="10"/>
      <c r="E720" s="10"/>
    </row>
    <row r="721" ht="22.5" customHeight="1">
      <c r="A721" s="10"/>
      <c r="B721" s="9"/>
      <c r="C721" s="10"/>
      <c r="D721" s="10"/>
      <c r="E721" s="10"/>
    </row>
    <row r="722" ht="22.5" customHeight="1">
      <c r="A722" s="10"/>
      <c r="B722" s="9"/>
      <c r="C722" s="10"/>
      <c r="D722" s="10"/>
      <c r="E722" s="10"/>
    </row>
    <row r="723" ht="22.5" customHeight="1">
      <c r="A723" s="10"/>
      <c r="B723" s="9"/>
      <c r="C723" s="10"/>
      <c r="D723" s="10"/>
      <c r="E723" s="10"/>
    </row>
    <row r="724" ht="22.5" customHeight="1">
      <c r="A724" s="10"/>
      <c r="B724" s="9"/>
      <c r="C724" s="10"/>
      <c r="D724" s="10"/>
      <c r="E724" s="10"/>
    </row>
    <row r="725" ht="22.5" customHeight="1">
      <c r="A725" s="10"/>
      <c r="B725" s="9"/>
      <c r="C725" s="10"/>
      <c r="D725" s="10"/>
      <c r="E725" s="10"/>
    </row>
    <row r="726" ht="22.5" customHeight="1">
      <c r="A726" s="10"/>
      <c r="B726" s="9"/>
      <c r="C726" s="10"/>
      <c r="D726" s="10"/>
      <c r="E726" s="10"/>
    </row>
    <row r="727" ht="22.5" customHeight="1">
      <c r="A727" s="10"/>
      <c r="B727" s="9"/>
      <c r="C727" s="10"/>
      <c r="D727" s="10"/>
      <c r="E727" s="10"/>
    </row>
    <row r="728" ht="22.5" customHeight="1">
      <c r="A728" s="10"/>
      <c r="B728" s="9"/>
      <c r="C728" s="10"/>
      <c r="D728" s="10"/>
      <c r="E728" s="10"/>
    </row>
    <row r="729" ht="22.5" customHeight="1">
      <c r="A729" s="10"/>
      <c r="B729" s="9"/>
      <c r="C729" s="10"/>
      <c r="D729" s="10"/>
      <c r="E729" s="10"/>
    </row>
    <row r="730" ht="22.5" customHeight="1">
      <c r="A730" s="10"/>
      <c r="B730" s="9"/>
      <c r="C730" s="10"/>
      <c r="D730" s="10"/>
      <c r="E730" s="10"/>
    </row>
    <row r="731" ht="22.5" customHeight="1">
      <c r="A731" s="10"/>
      <c r="B731" s="9"/>
      <c r="C731" s="10"/>
      <c r="D731" s="10"/>
      <c r="E731" s="10"/>
    </row>
    <row r="732" ht="22.5" customHeight="1">
      <c r="A732" s="10"/>
      <c r="B732" s="9"/>
      <c r="C732" s="10"/>
      <c r="D732" s="10"/>
      <c r="E732" s="10"/>
    </row>
    <row r="733" ht="22.5" customHeight="1">
      <c r="A733" s="10"/>
      <c r="B733" s="9"/>
      <c r="C733" s="10"/>
      <c r="D733" s="10"/>
      <c r="E733" s="10"/>
    </row>
    <row r="734" ht="22.5" customHeight="1">
      <c r="A734" s="10"/>
      <c r="B734" s="9"/>
      <c r="C734" s="10"/>
      <c r="D734" s="10"/>
      <c r="E734" s="10"/>
    </row>
    <row r="735" ht="22.5" customHeight="1">
      <c r="A735" s="10"/>
      <c r="B735" s="9"/>
      <c r="C735" s="10"/>
      <c r="D735" s="10"/>
      <c r="E735" s="10"/>
    </row>
    <row r="736" ht="22.5" customHeight="1">
      <c r="A736" s="10"/>
      <c r="B736" s="9"/>
      <c r="C736" s="10"/>
      <c r="D736" s="10"/>
      <c r="E736" s="10"/>
    </row>
    <row r="737" ht="22.5" customHeight="1">
      <c r="A737" s="10"/>
      <c r="B737" s="9"/>
      <c r="C737" s="10"/>
      <c r="D737" s="10"/>
      <c r="E737" s="10"/>
    </row>
    <row r="738" ht="22.5" customHeight="1">
      <c r="A738" s="10"/>
      <c r="B738" s="9"/>
      <c r="C738" s="10"/>
      <c r="D738" s="10"/>
      <c r="E738" s="10"/>
    </row>
    <row r="739" ht="22.5" customHeight="1">
      <c r="A739" s="10"/>
      <c r="B739" s="9"/>
      <c r="C739" s="10"/>
      <c r="D739" s="10"/>
      <c r="E739" s="10"/>
    </row>
    <row r="740" ht="22.5" customHeight="1">
      <c r="A740" s="10"/>
      <c r="B740" s="9"/>
      <c r="C740" s="10"/>
      <c r="D740" s="10"/>
      <c r="E740" s="10"/>
    </row>
    <row r="741" ht="22.5" customHeight="1">
      <c r="A741" s="10"/>
      <c r="B741" s="9"/>
      <c r="C741" s="10"/>
      <c r="D741" s="10"/>
      <c r="E741" s="10"/>
    </row>
    <row r="742" ht="22.5" customHeight="1">
      <c r="A742" s="10"/>
      <c r="B742" s="9"/>
      <c r="C742" s="10"/>
      <c r="D742" s="10"/>
      <c r="E742" s="10"/>
    </row>
    <row r="743" ht="22.5" customHeight="1">
      <c r="A743" s="10"/>
      <c r="B743" s="9"/>
      <c r="C743" s="10"/>
      <c r="D743" s="10"/>
      <c r="E743" s="10"/>
    </row>
    <row r="744" ht="22.5" customHeight="1">
      <c r="A744" s="10"/>
      <c r="B744" s="9"/>
      <c r="C744" s="10"/>
      <c r="D744" s="10"/>
      <c r="E744" s="10"/>
    </row>
    <row r="745" ht="22.5" customHeight="1">
      <c r="A745" s="10"/>
      <c r="B745" s="9"/>
      <c r="C745" s="10"/>
      <c r="D745" s="10"/>
      <c r="E745" s="10"/>
    </row>
    <row r="746" ht="22.5" customHeight="1">
      <c r="A746" s="10"/>
      <c r="B746" s="9"/>
      <c r="C746" s="10"/>
      <c r="D746" s="10"/>
      <c r="E746" s="10"/>
    </row>
    <row r="747" ht="22.5" customHeight="1">
      <c r="A747" s="10"/>
      <c r="B747" s="9"/>
      <c r="C747" s="10"/>
      <c r="D747" s="10"/>
      <c r="E747" s="10"/>
    </row>
    <row r="748" ht="22.5" customHeight="1">
      <c r="A748" s="10"/>
      <c r="B748" s="9"/>
      <c r="C748" s="10"/>
      <c r="D748" s="10"/>
      <c r="E748" s="10"/>
    </row>
    <row r="749" ht="22.5" customHeight="1">
      <c r="A749" s="10"/>
      <c r="B749" s="9"/>
      <c r="C749" s="10"/>
      <c r="D749" s="10"/>
      <c r="E749" s="10"/>
    </row>
    <row r="750" ht="22.5" customHeight="1">
      <c r="A750" s="10"/>
      <c r="B750" s="9"/>
      <c r="C750" s="10"/>
      <c r="D750" s="10"/>
      <c r="E750" s="10"/>
    </row>
    <row r="751" ht="22.5" customHeight="1">
      <c r="A751" s="10"/>
      <c r="B751" s="9"/>
      <c r="C751" s="10"/>
      <c r="D751" s="10"/>
      <c r="E751" s="10"/>
    </row>
    <row r="752" ht="22.5" customHeight="1">
      <c r="A752" s="10"/>
      <c r="B752" s="9"/>
      <c r="C752" s="10"/>
      <c r="D752" s="10"/>
      <c r="E752" s="10"/>
    </row>
    <row r="753" ht="22.5" customHeight="1">
      <c r="A753" s="10"/>
      <c r="B753" s="9"/>
      <c r="C753" s="10"/>
      <c r="D753" s="10"/>
      <c r="E753" s="10"/>
    </row>
    <row r="754" ht="22.5" customHeight="1">
      <c r="A754" s="10"/>
      <c r="B754" s="9"/>
      <c r="C754" s="10"/>
      <c r="D754" s="10"/>
      <c r="E754" s="10"/>
    </row>
    <row r="755" ht="22.5" customHeight="1">
      <c r="A755" s="10"/>
      <c r="B755" s="9"/>
      <c r="C755" s="10"/>
      <c r="D755" s="10"/>
      <c r="E755" s="10"/>
    </row>
    <row r="756" ht="22.5" customHeight="1">
      <c r="A756" s="10"/>
      <c r="B756" s="9"/>
      <c r="C756" s="10"/>
      <c r="D756" s="10"/>
      <c r="E756" s="10"/>
    </row>
    <row r="757" ht="22.5" customHeight="1">
      <c r="A757" s="10"/>
      <c r="B757" s="9"/>
      <c r="C757" s="10"/>
      <c r="D757" s="10"/>
      <c r="E757" s="10"/>
    </row>
    <row r="758" ht="22.5" customHeight="1">
      <c r="A758" s="10"/>
      <c r="B758" s="9"/>
      <c r="C758" s="10"/>
      <c r="D758" s="10"/>
      <c r="E758" s="10"/>
    </row>
    <row r="759" ht="22.5" customHeight="1">
      <c r="A759" s="10"/>
      <c r="B759" s="9"/>
      <c r="C759" s="10"/>
      <c r="D759" s="10"/>
      <c r="E759" s="10"/>
    </row>
    <row r="760" ht="22.5" customHeight="1">
      <c r="A760" s="10"/>
      <c r="B760" s="9"/>
      <c r="C760" s="10"/>
      <c r="D760" s="10"/>
      <c r="E760" s="10"/>
    </row>
    <row r="761" ht="22.5" customHeight="1">
      <c r="A761" s="10"/>
      <c r="B761" s="9"/>
      <c r="C761" s="10"/>
      <c r="D761" s="10"/>
      <c r="E761" s="10"/>
    </row>
    <row r="762" ht="22.5" customHeight="1">
      <c r="A762" s="10"/>
      <c r="B762" s="9"/>
      <c r="C762" s="10"/>
      <c r="D762" s="10"/>
      <c r="E762" s="10"/>
    </row>
    <row r="763" ht="22.5" customHeight="1">
      <c r="A763" s="10"/>
      <c r="B763" s="9"/>
      <c r="C763" s="10"/>
      <c r="D763" s="10"/>
      <c r="E763" s="10"/>
    </row>
    <row r="764" ht="22.5" customHeight="1">
      <c r="A764" s="10"/>
      <c r="B764" s="9"/>
      <c r="C764" s="10"/>
      <c r="D764" s="10"/>
      <c r="E764" s="10"/>
    </row>
    <row r="765" ht="22.5" customHeight="1">
      <c r="A765" s="10"/>
      <c r="B765" s="9"/>
      <c r="C765" s="10"/>
      <c r="D765" s="10"/>
      <c r="E765" s="10"/>
    </row>
    <row r="766" ht="22.5" customHeight="1">
      <c r="A766" s="10"/>
      <c r="B766" s="9"/>
      <c r="C766" s="10"/>
      <c r="D766" s="10"/>
      <c r="E766" s="10"/>
    </row>
    <row r="767" ht="22.5" customHeight="1">
      <c r="A767" s="10"/>
      <c r="B767" s="9"/>
      <c r="C767" s="10"/>
      <c r="D767" s="10"/>
      <c r="E767" s="10"/>
    </row>
    <row r="768" ht="22.5" customHeight="1">
      <c r="A768" s="10"/>
      <c r="B768" s="9"/>
      <c r="C768" s="10"/>
      <c r="D768" s="10"/>
      <c r="E768" s="10"/>
    </row>
    <row r="769" ht="22.5" customHeight="1">
      <c r="A769" s="10"/>
      <c r="B769" s="9"/>
      <c r="C769" s="10"/>
      <c r="D769" s="10"/>
      <c r="E769" s="10"/>
    </row>
    <row r="770" ht="22.5" customHeight="1">
      <c r="A770" s="10"/>
      <c r="B770" s="9"/>
      <c r="C770" s="10"/>
      <c r="D770" s="10"/>
      <c r="E770" s="10"/>
    </row>
    <row r="771" ht="22.5" customHeight="1">
      <c r="A771" s="10"/>
      <c r="B771" s="9"/>
      <c r="C771" s="10"/>
      <c r="D771" s="10"/>
      <c r="E771" s="10"/>
    </row>
    <row r="772" ht="22.5" customHeight="1">
      <c r="A772" s="10"/>
      <c r="B772" s="9"/>
      <c r="C772" s="10"/>
      <c r="D772" s="10"/>
      <c r="E772" s="10"/>
    </row>
    <row r="773" ht="22.5" customHeight="1">
      <c r="A773" s="10"/>
      <c r="B773" s="9"/>
      <c r="C773" s="10"/>
      <c r="D773" s="10"/>
      <c r="E773" s="10"/>
    </row>
    <row r="774" ht="22.5" customHeight="1">
      <c r="A774" s="10"/>
      <c r="B774" s="9"/>
      <c r="C774" s="10"/>
      <c r="D774" s="10"/>
      <c r="E774" s="10"/>
    </row>
    <row r="775" ht="22.5" customHeight="1">
      <c r="A775" s="10"/>
      <c r="B775" s="9"/>
      <c r="C775" s="10"/>
      <c r="D775" s="10"/>
      <c r="E775" s="10"/>
    </row>
    <row r="776" ht="22.5" customHeight="1">
      <c r="A776" s="10"/>
      <c r="B776" s="9"/>
      <c r="C776" s="10"/>
      <c r="D776" s="10"/>
      <c r="E776" s="10"/>
    </row>
    <row r="777" ht="22.5" customHeight="1">
      <c r="A777" s="10"/>
      <c r="B777" s="9"/>
      <c r="C777" s="10"/>
      <c r="D777" s="10"/>
      <c r="E777" s="10"/>
    </row>
    <row r="778" ht="22.5" customHeight="1">
      <c r="A778" s="10"/>
      <c r="B778" s="9"/>
      <c r="C778" s="10"/>
      <c r="D778" s="10"/>
      <c r="E778" s="10"/>
    </row>
    <row r="779" ht="22.5" customHeight="1">
      <c r="A779" s="10"/>
      <c r="B779" s="9"/>
      <c r="C779" s="10"/>
      <c r="D779" s="10"/>
      <c r="E779" s="10"/>
    </row>
    <row r="780" ht="22.5" customHeight="1">
      <c r="A780" s="10"/>
      <c r="B780" s="9"/>
      <c r="C780" s="10"/>
      <c r="D780" s="10"/>
      <c r="E780" s="10"/>
    </row>
    <row r="781" ht="22.5" customHeight="1">
      <c r="A781" s="10"/>
      <c r="B781" s="9"/>
      <c r="C781" s="10"/>
      <c r="D781" s="10"/>
      <c r="E781" s="10"/>
    </row>
    <row r="782" ht="22.5" customHeight="1">
      <c r="A782" s="10"/>
      <c r="B782" s="9"/>
      <c r="C782" s="10"/>
      <c r="D782" s="10"/>
      <c r="E782" s="10"/>
    </row>
    <row r="783" ht="22.5" customHeight="1">
      <c r="A783" s="10"/>
      <c r="B783" s="9"/>
      <c r="C783" s="10"/>
      <c r="D783" s="10"/>
      <c r="E783" s="10"/>
    </row>
    <row r="784" ht="22.5" customHeight="1">
      <c r="A784" s="10"/>
      <c r="B784" s="9"/>
      <c r="C784" s="10"/>
      <c r="D784" s="10"/>
      <c r="E784" s="10"/>
    </row>
    <row r="785" ht="22.5" customHeight="1">
      <c r="A785" s="10"/>
      <c r="B785" s="9"/>
      <c r="C785" s="10"/>
      <c r="D785" s="10"/>
      <c r="E785" s="10"/>
    </row>
    <row r="786" ht="22.5" customHeight="1">
      <c r="A786" s="10"/>
      <c r="B786" s="9"/>
      <c r="C786" s="10"/>
      <c r="D786" s="10"/>
      <c r="E786" s="10"/>
    </row>
    <row r="787" ht="22.5" customHeight="1">
      <c r="A787" s="10"/>
      <c r="B787" s="9"/>
      <c r="C787" s="10"/>
      <c r="D787" s="10"/>
      <c r="E787" s="10"/>
    </row>
    <row r="788" ht="22.5" customHeight="1">
      <c r="A788" s="10"/>
      <c r="B788" s="9"/>
      <c r="C788" s="10"/>
      <c r="D788" s="10"/>
      <c r="E788" s="10"/>
    </row>
    <row r="789" ht="22.5" customHeight="1">
      <c r="A789" s="10"/>
      <c r="B789" s="9"/>
      <c r="C789" s="10"/>
      <c r="D789" s="10"/>
      <c r="E789" s="10"/>
    </row>
    <row r="790" ht="22.5" customHeight="1">
      <c r="A790" s="10"/>
      <c r="B790" s="9"/>
      <c r="C790" s="10"/>
      <c r="D790" s="10"/>
      <c r="E790" s="10"/>
    </row>
    <row r="791" ht="22.5" customHeight="1">
      <c r="A791" s="10"/>
      <c r="B791" s="9"/>
      <c r="C791" s="10"/>
      <c r="D791" s="10"/>
      <c r="E791" s="10"/>
    </row>
    <row r="792" ht="22.5" customHeight="1">
      <c r="A792" s="10"/>
      <c r="B792" s="9"/>
      <c r="C792" s="10"/>
      <c r="D792" s="10"/>
      <c r="E792" s="10"/>
    </row>
    <row r="793" ht="22.5" customHeight="1">
      <c r="A793" s="10"/>
      <c r="B793" s="9"/>
      <c r="C793" s="10"/>
      <c r="D793" s="10"/>
      <c r="E793" s="10"/>
    </row>
    <row r="794" ht="22.5" customHeight="1">
      <c r="A794" s="10"/>
      <c r="B794" s="9"/>
      <c r="C794" s="10"/>
      <c r="D794" s="10"/>
      <c r="E794" s="10"/>
    </row>
    <row r="795" ht="22.5" customHeight="1">
      <c r="A795" s="10"/>
      <c r="B795" s="9"/>
      <c r="C795" s="10"/>
      <c r="D795" s="10"/>
      <c r="E795" s="10"/>
    </row>
    <row r="796" ht="22.5" customHeight="1">
      <c r="A796" s="10"/>
      <c r="B796" s="9"/>
      <c r="C796" s="10"/>
      <c r="D796" s="10"/>
      <c r="E796" s="10"/>
    </row>
    <row r="797" ht="22.5" customHeight="1">
      <c r="A797" s="10"/>
      <c r="B797" s="9"/>
      <c r="C797" s="10"/>
      <c r="D797" s="10"/>
      <c r="E797" s="10"/>
    </row>
    <row r="798" ht="22.5" customHeight="1">
      <c r="A798" s="10"/>
      <c r="B798" s="9"/>
      <c r="C798" s="10"/>
      <c r="D798" s="10"/>
      <c r="E798" s="10"/>
    </row>
    <row r="799" ht="22.5" customHeight="1">
      <c r="A799" s="10"/>
      <c r="B799" s="9"/>
      <c r="C799" s="10"/>
      <c r="D799" s="10"/>
      <c r="E799" s="10"/>
    </row>
    <row r="800" ht="22.5" customHeight="1">
      <c r="A800" s="10"/>
      <c r="B800" s="9"/>
      <c r="C800" s="10"/>
      <c r="D800" s="10"/>
      <c r="E800" s="10"/>
    </row>
    <row r="801" ht="22.5" customHeight="1">
      <c r="A801" s="10"/>
      <c r="B801" s="9"/>
      <c r="C801" s="10"/>
      <c r="D801" s="10"/>
      <c r="E801" s="10"/>
    </row>
    <row r="802" ht="22.5" customHeight="1">
      <c r="A802" s="10"/>
      <c r="B802" s="9"/>
      <c r="C802" s="10"/>
      <c r="D802" s="10"/>
      <c r="E802" s="10"/>
    </row>
    <row r="803" ht="22.5" customHeight="1">
      <c r="A803" s="10"/>
      <c r="B803" s="9"/>
      <c r="C803" s="10"/>
      <c r="D803" s="10"/>
      <c r="E803" s="10"/>
    </row>
    <row r="804" ht="22.5" customHeight="1">
      <c r="A804" s="10"/>
      <c r="B804" s="9"/>
      <c r="C804" s="10"/>
      <c r="D804" s="10"/>
      <c r="E804" s="10"/>
    </row>
    <row r="805" ht="22.5" customHeight="1">
      <c r="A805" s="10"/>
      <c r="B805" s="9"/>
      <c r="C805" s="10"/>
      <c r="D805" s="10"/>
      <c r="E805" s="10"/>
    </row>
    <row r="806" ht="22.5" customHeight="1">
      <c r="A806" s="10"/>
      <c r="B806" s="9"/>
      <c r="C806" s="10"/>
      <c r="D806" s="10"/>
      <c r="E806" s="10"/>
    </row>
    <row r="807" ht="22.5" customHeight="1">
      <c r="A807" s="10"/>
      <c r="B807" s="9"/>
      <c r="C807" s="10"/>
      <c r="D807" s="10"/>
      <c r="E807" s="10"/>
    </row>
    <row r="808" ht="22.5" customHeight="1">
      <c r="A808" s="10"/>
      <c r="B808" s="9"/>
      <c r="C808" s="10"/>
      <c r="D808" s="10"/>
      <c r="E808" s="10"/>
    </row>
    <row r="809" ht="22.5" customHeight="1">
      <c r="A809" s="10"/>
      <c r="B809" s="9"/>
      <c r="C809" s="10"/>
      <c r="D809" s="10"/>
      <c r="E809" s="10"/>
    </row>
    <row r="810" ht="22.5" customHeight="1">
      <c r="A810" s="10"/>
      <c r="B810" s="9"/>
      <c r="C810" s="10"/>
      <c r="D810" s="10"/>
      <c r="E810" s="10"/>
    </row>
    <row r="811" ht="22.5" customHeight="1">
      <c r="A811" s="10"/>
      <c r="B811" s="9"/>
      <c r="C811" s="10"/>
      <c r="D811" s="10"/>
      <c r="E811" s="10"/>
    </row>
    <row r="812" ht="22.5" customHeight="1">
      <c r="A812" s="10"/>
      <c r="B812" s="9"/>
      <c r="C812" s="10"/>
      <c r="D812" s="10"/>
      <c r="E812" s="10"/>
    </row>
    <row r="813" ht="22.5" customHeight="1">
      <c r="A813" s="10"/>
      <c r="B813" s="9"/>
      <c r="C813" s="10"/>
      <c r="D813" s="10"/>
      <c r="E813" s="10"/>
    </row>
    <row r="814" ht="22.5" customHeight="1">
      <c r="A814" s="10"/>
      <c r="B814" s="9"/>
      <c r="C814" s="10"/>
      <c r="D814" s="10"/>
      <c r="E814" s="10"/>
    </row>
    <row r="815" ht="22.5" customHeight="1">
      <c r="A815" s="10"/>
      <c r="B815" s="9"/>
      <c r="C815" s="10"/>
      <c r="D815" s="10"/>
      <c r="E815" s="10"/>
    </row>
    <row r="816" ht="22.5" customHeight="1">
      <c r="A816" s="10"/>
      <c r="B816" s="9"/>
      <c r="C816" s="10"/>
      <c r="D816" s="10"/>
      <c r="E816" s="10"/>
    </row>
    <row r="817" ht="22.5" customHeight="1">
      <c r="A817" s="10"/>
      <c r="B817" s="9"/>
      <c r="C817" s="10"/>
      <c r="D817" s="10"/>
      <c r="E817" s="10"/>
    </row>
    <row r="818" ht="22.5" customHeight="1">
      <c r="A818" s="10"/>
      <c r="B818" s="9"/>
      <c r="C818" s="10"/>
      <c r="D818" s="10"/>
      <c r="E818" s="10"/>
    </row>
    <row r="819" ht="22.5" customHeight="1">
      <c r="A819" s="10"/>
      <c r="B819" s="9"/>
      <c r="C819" s="10"/>
      <c r="D819" s="10"/>
      <c r="E819" s="10"/>
    </row>
    <row r="820" ht="22.5" customHeight="1">
      <c r="A820" s="10"/>
      <c r="B820" s="9"/>
      <c r="C820" s="10"/>
      <c r="D820" s="10"/>
      <c r="E820" s="10"/>
    </row>
    <row r="821" ht="22.5" customHeight="1">
      <c r="A821" s="10"/>
      <c r="B821" s="9"/>
      <c r="C821" s="10"/>
      <c r="D821" s="10"/>
      <c r="E821" s="10"/>
    </row>
    <row r="822" ht="22.5" customHeight="1">
      <c r="A822" s="10"/>
      <c r="B822" s="9"/>
      <c r="C822" s="10"/>
      <c r="D822" s="10"/>
      <c r="E822" s="10"/>
    </row>
    <row r="823" ht="22.5" customHeight="1">
      <c r="A823" s="10"/>
      <c r="B823" s="9"/>
      <c r="C823" s="10"/>
      <c r="D823" s="10"/>
      <c r="E823" s="10"/>
    </row>
    <row r="824" ht="22.5" customHeight="1">
      <c r="A824" s="10"/>
      <c r="B824" s="9"/>
      <c r="C824" s="10"/>
      <c r="D824" s="10"/>
      <c r="E824" s="10"/>
    </row>
    <row r="825" ht="22.5" customHeight="1">
      <c r="A825" s="10"/>
      <c r="B825" s="9"/>
      <c r="C825" s="10"/>
      <c r="D825" s="10"/>
      <c r="E825" s="10"/>
    </row>
    <row r="826" ht="22.5" customHeight="1">
      <c r="A826" s="10"/>
      <c r="B826" s="9"/>
      <c r="C826" s="10"/>
      <c r="D826" s="10"/>
      <c r="E826" s="10"/>
    </row>
    <row r="827" ht="22.5" customHeight="1">
      <c r="A827" s="10"/>
      <c r="B827" s="9"/>
      <c r="C827" s="10"/>
      <c r="D827" s="10"/>
      <c r="E827" s="10"/>
    </row>
    <row r="828" ht="22.5" customHeight="1">
      <c r="A828" s="10"/>
      <c r="B828" s="9"/>
      <c r="C828" s="10"/>
      <c r="D828" s="10"/>
      <c r="E828" s="10"/>
    </row>
    <row r="829" ht="22.5" customHeight="1">
      <c r="A829" s="10"/>
      <c r="B829" s="9"/>
      <c r="C829" s="10"/>
      <c r="D829" s="10"/>
      <c r="E829" s="10"/>
    </row>
    <row r="830" ht="22.5" customHeight="1">
      <c r="A830" s="10"/>
      <c r="B830" s="9"/>
      <c r="C830" s="10"/>
      <c r="D830" s="10"/>
      <c r="E830" s="10"/>
    </row>
    <row r="831" ht="22.5" customHeight="1">
      <c r="A831" s="10"/>
      <c r="B831" s="9"/>
      <c r="C831" s="10"/>
      <c r="D831" s="10"/>
      <c r="E831" s="10"/>
    </row>
    <row r="832" ht="22.5" customHeight="1">
      <c r="A832" s="10"/>
      <c r="B832" s="9"/>
      <c r="C832" s="10"/>
      <c r="D832" s="10"/>
      <c r="E832" s="10"/>
    </row>
    <row r="833" ht="22.5" customHeight="1">
      <c r="A833" s="10"/>
      <c r="B833" s="9"/>
      <c r="C833" s="10"/>
      <c r="D833" s="10"/>
      <c r="E833" s="10"/>
    </row>
    <row r="834" ht="22.5" customHeight="1">
      <c r="A834" s="10"/>
      <c r="B834" s="9"/>
      <c r="C834" s="10"/>
      <c r="D834" s="10"/>
      <c r="E834" s="10"/>
    </row>
    <row r="835" ht="22.5" customHeight="1">
      <c r="A835" s="10"/>
      <c r="B835" s="9"/>
      <c r="C835" s="10"/>
      <c r="D835" s="10"/>
      <c r="E835" s="10"/>
    </row>
    <row r="836" ht="22.5" customHeight="1">
      <c r="A836" s="10"/>
      <c r="B836" s="9"/>
      <c r="C836" s="10"/>
      <c r="D836" s="10"/>
      <c r="E836" s="10"/>
    </row>
    <row r="837" ht="22.5" customHeight="1">
      <c r="A837" s="10"/>
      <c r="B837" s="9"/>
      <c r="C837" s="10"/>
      <c r="D837" s="10"/>
      <c r="E837" s="10"/>
    </row>
    <row r="838" ht="22.5" customHeight="1">
      <c r="A838" s="10"/>
      <c r="B838" s="9"/>
      <c r="C838" s="10"/>
      <c r="D838" s="10"/>
      <c r="E838" s="10"/>
    </row>
    <row r="839" ht="22.5" customHeight="1">
      <c r="A839" s="10"/>
      <c r="B839" s="9"/>
      <c r="C839" s="10"/>
      <c r="D839" s="10"/>
      <c r="E839" s="10"/>
    </row>
    <row r="840" ht="22.5" customHeight="1">
      <c r="A840" s="10"/>
      <c r="B840" s="9"/>
      <c r="C840" s="10"/>
      <c r="D840" s="10"/>
      <c r="E840" s="10"/>
    </row>
    <row r="841" ht="22.5" customHeight="1">
      <c r="A841" s="10"/>
      <c r="B841" s="9"/>
      <c r="C841" s="10"/>
      <c r="D841" s="10"/>
      <c r="E841" s="10"/>
    </row>
    <row r="842" ht="22.5" customHeight="1">
      <c r="A842" s="10"/>
      <c r="B842" s="9"/>
      <c r="C842" s="10"/>
      <c r="D842" s="10"/>
      <c r="E842" s="10"/>
    </row>
    <row r="843" ht="22.5" customHeight="1">
      <c r="A843" s="10"/>
      <c r="B843" s="9"/>
      <c r="C843" s="10"/>
      <c r="D843" s="10"/>
      <c r="E843" s="10"/>
    </row>
    <row r="844" ht="22.5" customHeight="1">
      <c r="A844" s="10"/>
      <c r="B844" s="9"/>
      <c r="C844" s="10"/>
      <c r="D844" s="10"/>
      <c r="E844" s="10"/>
    </row>
    <row r="845" ht="22.5" customHeight="1">
      <c r="A845" s="10"/>
      <c r="B845" s="9"/>
      <c r="C845" s="10"/>
      <c r="D845" s="10"/>
      <c r="E845" s="10"/>
    </row>
    <row r="846" ht="22.5" customHeight="1">
      <c r="A846" s="10"/>
      <c r="B846" s="9"/>
      <c r="C846" s="10"/>
      <c r="D846" s="10"/>
      <c r="E846" s="10"/>
    </row>
    <row r="847" ht="22.5" customHeight="1">
      <c r="A847" s="10"/>
      <c r="B847" s="9"/>
      <c r="C847" s="10"/>
      <c r="D847" s="10"/>
      <c r="E847" s="10"/>
    </row>
    <row r="848" ht="22.5" customHeight="1">
      <c r="A848" s="10"/>
      <c r="B848" s="9"/>
      <c r="C848" s="10"/>
      <c r="D848" s="10"/>
      <c r="E848" s="10"/>
    </row>
    <row r="849" ht="22.5" customHeight="1">
      <c r="A849" s="10"/>
      <c r="B849" s="9"/>
      <c r="C849" s="10"/>
      <c r="D849" s="10"/>
      <c r="E849" s="10"/>
    </row>
    <row r="850" ht="22.5" customHeight="1">
      <c r="A850" s="10"/>
      <c r="B850" s="9"/>
      <c r="C850" s="10"/>
      <c r="D850" s="10"/>
      <c r="E850" s="10"/>
    </row>
    <row r="851" ht="22.5" customHeight="1">
      <c r="A851" s="10"/>
      <c r="B851" s="9"/>
      <c r="C851" s="10"/>
      <c r="D851" s="10"/>
      <c r="E851" s="10"/>
    </row>
    <row r="852" ht="22.5" customHeight="1">
      <c r="A852" s="10"/>
      <c r="B852" s="9"/>
      <c r="C852" s="10"/>
      <c r="D852" s="10"/>
      <c r="E852" s="10"/>
    </row>
    <row r="853" ht="22.5" customHeight="1">
      <c r="A853" s="10"/>
      <c r="B853" s="9"/>
      <c r="C853" s="10"/>
      <c r="D853" s="10"/>
      <c r="E853" s="10"/>
    </row>
    <row r="854" ht="22.5" customHeight="1">
      <c r="A854" s="10"/>
      <c r="B854" s="9"/>
      <c r="C854" s="10"/>
      <c r="D854" s="10"/>
      <c r="E854" s="10"/>
    </row>
    <row r="855" ht="22.5" customHeight="1">
      <c r="A855" s="10"/>
      <c r="B855" s="9"/>
      <c r="C855" s="10"/>
      <c r="D855" s="10"/>
      <c r="E855" s="10"/>
    </row>
    <row r="856" ht="22.5" customHeight="1">
      <c r="A856" s="10"/>
      <c r="B856" s="9"/>
      <c r="C856" s="10"/>
      <c r="D856" s="10"/>
      <c r="E856" s="10"/>
    </row>
    <row r="857" ht="22.5" customHeight="1">
      <c r="A857" s="10"/>
      <c r="B857" s="9"/>
      <c r="C857" s="10"/>
      <c r="D857" s="10"/>
      <c r="E857" s="10"/>
    </row>
    <row r="858" ht="22.5" customHeight="1">
      <c r="A858" s="10"/>
      <c r="B858" s="9"/>
      <c r="C858" s="10"/>
      <c r="D858" s="10"/>
      <c r="E858" s="10"/>
    </row>
    <row r="859" ht="22.5" customHeight="1">
      <c r="A859" s="10"/>
      <c r="B859" s="9"/>
      <c r="C859" s="10"/>
      <c r="D859" s="10"/>
      <c r="E859" s="10"/>
    </row>
    <row r="860" ht="22.5" customHeight="1">
      <c r="A860" s="10"/>
      <c r="B860" s="9"/>
      <c r="C860" s="10"/>
      <c r="D860" s="10"/>
      <c r="E860" s="10"/>
    </row>
    <row r="861" ht="22.5" customHeight="1">
      <c r="A861" s="10"/>
      <c r="B861" s="9"/>
      <c r="C861" s="10"/>
      <c r="D861" s="10"/>
      <c r="E861" s="10"/>
    </row>
    <row r="862" ht="22.5" customHeight="1">
      <c r="A862" s="10"/>
      <c r="B862" s="9"/>
      <c r="C862" s="10"/>
      <c r="D862" s="10"/>
      <c r="E862" s="10"/>
    </row>
    <row r="863" ht="22.5" customHeight="1">
      <c r="A863" s="10"/>
      <c r="B863" s="9"/>
      <c r="C863" s="10"/>
      <c r="D863" s="10"/>
      <c r="E863" s="10"/>
    </row>
    <row r="864" ht="22.5" customHeight="1">
      <c r="A864" s="10"/>
      <c r="B864" s="9"/>
      <c r="C864" s="10"/>
      <c r="D864" s="10"/>
      <c r="E864" s="10"/>
    </row>
    <row r="865" ht="22.5" customHeight="1">
      <c r="A865" s="10"/>
      <c r="B865" s="9"/>
      <c r="C865" s="10"/>
      <c r="D865" s="10"/>
      <c r="E865" s="10"/>
    </row>
    <row r="866" ht="22.5" customHeight="1">
      <c r="A866" s="10"/>
      <c r="B866" s="9"/>
      <c r="C866" s="10"/>
      <c r="D866" s="10"/>
      <c r="E866" s="10"/>
    </row>
    <row r="867" ht="22.5" customHeight="1">
      <c r="A867" s="10"/>
      <c r="B867" s="9"/>
      <c r="C867" s="10"/>
      <c r="D867" s="10"/>
      <c r="E867" s="10"/>
    </row>
    <row r="868" ht="22.5" customHeight="1">
      <c r="A868" s="10"/>
      <c r="B868" s="9"/>
      <c r="C868" s="10"/>
      <c r="D868" s="10"/>
      <c r="E868" s="10"/>
    </row>
    <row r="869" ht="22.5" customHeight="1">
      <c r="A869" s="10"/>
      <c r="B869" s="9"/>
      <c r="C869" s="10"/>
      <c r="D869" s="10"/>
      <c r="E869" s="10"/>
    </row>
    <row r="870" ht="22.5" customHeight="1">
      <c r="A870" s="10"/>
      <c r="B870" s="9"/>
      <c r="C870" s="10"/>
      <c r="D870" s="10"/>
      <c r="E870" s="10"/>
    </row>
    <row r="871" ht="22.5" customHeight="1">
      <c r="A871" s="10"/>
      <c r="B871" s="9"/>
      <c r="C871" s="10"/>
      <c r="D871" s="10"/>
      <c r="E871" s="10"/>
    </row>
    <row r="872" ht="22.5" customHeight="1">
      <c r="A872" s="10"/>
      <c r="B872" s="9"/>
      <c r="C872" s="10"/>
      <c r="D872" s="10"/>
      <c r="E872" s="10"/>
    </row>
    <row r="873" ht="22.5" customHeight="1">
      <c r="A873" s="10"/>
      <c r="B873" s="9"/>
      <c r="C873" s="10"/>
      <c r="D873" s="10"/>
      <c r="E873" s="10"/>
    </row>
    <row r="874" ht="22.5" customHeight="1">
      <c r="A874" s="10"/>
      <c r="B874" s="9"/>
      <c r="C874" s="10"/>
      <c r="D874" s="10"/>
      <c r="E874" s="10"/>
    </row>
    <row r="875" ht="22.5" customHeight="1">
      <c r="A875" s="10"/>
      <c r="B875" s="9"/>
      <c r="C875" s="10"/>
      <c r="D875" s="10"/>
      <c r="E875" s="10"/>
    </row>
    <row r="876" ht="22.5" customHeight="1">
      <c r="A876" s="10"/>
      <c r="B876" s="9"/>
      <c r="C876" s="10"/>
      <c r="D876" s="10"/>
      <c r="E876" s="10"/>
    </row>
    <row r="877" ht="22.5" customHeight="1">
      <c r="A877" s="10"/>
      <c r="B877" s="9"/>
      <c r="C877" s="10"/>
      <c r="D877" s="10"/>
      <c r="E877" s="10"/>
    </row>
    <row r="878" ht="22.5" customHeight="1">
      <c r="A878" s="10"/>
      <c r="B878" s="9"/>
      <c r="C878" s="10"/>
      <c r="D878" s="10"/>
      <c r="E878" s="10"/>
    </row>
    <row r="879" ht="22.5" customHeight="1">
      <c r="A879" s="10"/>
      <c r="B879" s="9"/>
      <c r="C879" s="10"/>
      <c r="D879" s="10"/>
      <c r="E879" s="10"/>
    </row>
    <row r="880" ht="22.5" customHeight="1">
      <c r="A880" s="10"/>
      <c r="B880" s="9"/>
      <c r="C880" s="10"/>
      <c r="D880" s="10"/>
      <c r="E880" s="10"/>
    </row>
    <row r="881" ht="22.5" customHeight="1">
      <c r="A881" s="10"/>
      <c r="B881" s="9"/>
      <c r="C881" s="10"/>
      <c r="D881" s="10"/>
      <c r="E881" s="10"/>
    </row>
    <row r="882" ht="22.5" customHeight="1">
      <c r="A882" s="10"/>
      <c r="B882" s="9"/>
      <c r="C882" s="10"/>
      <c r="D882" s="10"/>
      <c r="E882" s="10"/>
    </row>
    <row r="883" ht="22.5" customHeight="1">
      <c r="A883" s="10"/>
      <c r="B883" s="9"/>
      <c r="C883" s="10"/>
      <c r="D883" s="10"/>
      <c r="E883" s="10"/>
    </row>
    <row r="884" ht="22.5" customHeight="1">
      <c r="A884" s="10"/>
      <c r="B884" s="9"/>
      <c r="C884" s="10"/>
      <c r="D884" s="10"/>
      <c r="E884" s="10"/>
    </row>
    <row r="885" ht="22.5" customHeight="1">
      <c r="A885" s="10"/>
      <c r="B885" s="9"/>
      <c r="C885" s="10"/>
      <c r="D885" s="10"/>
      <c r="E885" s="10"/>
    </row>
    <row r="886" ht="22.5" customHeight="1">
      <c r="A886" s="10"/>
      <c r="B886" s="9"/>
      <c r="C886" s="10"/>
      <c r="D886" s="10"/>
      <c r="E886" s="10"/>
    </row>
    <row r="887" ht="22.5" customHeight="1">
      <c r="A887" s="10"/>
      <c r="B887" s="9"/>
      <c r="C887" s="10"/>
      <c r="D887" s="10"/>
      <c r="E887" s="10"/>
    </row>
    <row r="888" ht="22.5" customHeight="1">
      <c r="A888" s="10"/>
      <c r="B888" s="9"/>
      <c r="C888" s="10"/>
      <c r="D888" s="10"/>
      <c r="E888" s="10"/>
    </row>
    <row r="889" ht="22.5" customHeight="1">
      <c r="A889" s="10"/>
      <c r="B889" s="9"/>
      <c r="C889" s="10"/>
      <c r="D889" s="10"/>
      <c r="E889" s="10"/>
    </row>
    <row r="890" ht="22.5" customHeight="1">
      <c r="A890" s="10"/>
      <c r="B890" s="9"/>
      <c r="C890" s="10"/>
      <c r="D890" s="10"/>
      <c r="E890" s="10"/>
    </row>
    <row r="891" ht="22.5" customHeight="1">
      <c r="A891" s="10"/>
      <c r="B891" s="9"/>
      <c r="C891" s="10"/>
      <c r="D891" s="10"/>
      <c r="E891" s="10"/>
    </row>
    <row r="892" ht="22.5" customHeight="1">
      <c r="A892" s="10"/>
      <c r="B892" s="9"/>
      <c r="C892" s="10"/>
      <c r="D892" s="10"/>
      <c r="E892" s="10"/>
    </row>
    <row r="893" ht="22.5" customHeight="1">
      <c r="A893" s="10"/>
      <c r="B893" s="9"/>
      <c r="C893" s="10"/>
      <c r="D893" s="10"/>
      <c r="E893" s="10"/>
    </row>
    <row r="894" ht="22.5" customHeight="1">
      <c r="A894" s="10"/>
      <c r="B894" s="9"/>
      <c r="C894" s="10"/>
      <c r="D894" s="10"/>
      <c r="E894" s="10"/>
    </row>
    <row r="895" ht="22.5" customHeight="1">
      <c r="A895" s="10"/>
      <c r="B895" s="9"/>
      <c r="C895" s="10"/>
      <c r="D895" s="10"/>
      <c r="E895" s="10"/>
    </row>
    <row r="896" ht="22.5" customHeight="1">
      <c r="A896" s="10"/>
      <c r="B896" s="9"/>
      <c r="C896" s="10"/>
      <c r="D896" s="10"/>
      <c r="E896" s="10"/>
    </row>
    <row r="897" ht="22.5" customHeight="1">
      <c r="A897" s="10"/>
      <c r="B897" s="9"/>
      <c r="C897" s="10"/>
      <c r="D897" s="10"/>
      <c r="E897" s="10"/>
    </row>
    <row r="898" ht="22.5" customHeight="1">
      <c r="A898" s="10"/>
      <c r="B898" s="9"/>
      <c r="C898" s="10"/>
      <c r="D898" s="10"/>
      <c r="E898" s="10"/>
    </row>
    <row r="899" ht="22.5" customHeight="1">
      <c r="A899" s="10"/>
      <c r="B899" s="9"/>
      <c r="C899" s="10"/>
      <c r="D899" s="10"/>
      <c r="E899" s="10"/>
    </row>
    <row r="900" ht="22.5" customHeight="1">
      <c r="A900" s="10"/>
      <c r="B900" s="9"/>
      <c r="C900" s="10"/>
      <c r="D900" s="10"/>
      <c r="E900" s="10"/>
    </row>
    <row r="901" ht="22.5" customHeight="1">
      <c r="A901" s="10"/>
      <c r="B901" s="9"/>
      <c r="C901" s="10"/>
      <c r="D901" s="10"/>
      <c r="E901" s="10"/>
    </row>
    <row r="902" ht="22.5" customHeight="1">
      <c r="A902" s="10"/>
      <c r="B902" s="9"/>
      <c r="C902" s="10"/>
      <c r="D902" s="10"/>
      <c r="E902" s="10"/>
    </row>
    <row r="903" ht="22.5" customHeight="1">
      <c r="A903" s="10"/>
      <c r="B903" s="9"/>
      <c r="C903" s="10"/>
      <c r="D903" s="10"/>
      <c r="E903" s="10"/>
    </row>
    <row r="904" ht="22.5" customHeight="1">
      <c r="A904" s="10"/>
      <c r="B904" s="9"/>
      <c r="C904" s="10"/>
      <c r="D904" s="10"/>
      <c r="E904" s="10"/>
    </row>
    <row r="905" ht="22.5" customHeight="1">
      <c r="A905" s="10"/>
      <c r="B905" s="9"/>
      <c r="C905" s="10"/>
      <c r="D905" s="10"/>
      <c r="E905" s="10"/>
    </row>
    <row r="906" ht="22.5" customHeight="1">
      <c r="A906" s="10"/>
      <c r="B906" s="9"/>
      <c r="C906" s="10"/>
      <c r="D906" s="10"/>
      <c r="E906" s="10"/>
    </row>
    <row r="907" ht="22.5" customHeight="1">
      <c r="A907" s="10"/>
      <c r="B907" s="9"/>
      <c r="C907" s="10"/>
      <c r="D907" s="10"/>
      <c r="E907" s="10"/>
    </row>
    <row r="908" ht="22.5" customHeight="1">
      <c r="A908" s="10"/>
      <c r="B908" s="9"/>
      <c r="C908" s="10"/>
      <c r="D908" s="10"/>
      <c r="E908" s="10"/>
    </row>
    <row r="909" ht="22.5" customHeight="1">
      <c r="A909" s="10"/>
      <c r="B909" s="9"/>
      <c r="C909" s="10"/>
      <c r="D909" s="10"/>
      <c r="E909" s="10"/>
    </row>
    <row r="910" ht="22.5" customHeight="1">
      <c r="A910" s="10"/>
      <c r="B910" s="9"/>
      <c r="C910" s="10"/>
      <c r="D910" s="10"/>
      <c r="E910" s="10"/>
    </row>
    <row r="911" ht="22.5" customHeight="1">
      <c r="A911" s="10"/>
      <c r="B911" s="9"/>
      <c r="C911" s="10"/>
      <c r="D911" s="10"/>
      <c r="E911" s="10"/>
    </row>
    <row r="912" ht="22.5" customHeight="1">
      <c r="A912" s="10"/>
      <c r="B912" s="9"/>
      <c r="C912" s="10"/>
      <c r="D912" s="10"/>
      <c r="E912" s="10"/>
    </row>
    <row r="913" ht="22.5" customHeight="1">
      <c r="A913" s="10"/>
      <c r="B913" s="9"/>
      <c r="C913" s="10"/>
      <c r="D913" s="10"/>
      <c r="E913" s="10"/>
    </row>
    <row r="914" ht="22.5" customHeight="1">
      <c r="A914" s="10"/>
      <c r="B914" s="9"/>
      <c r="C914" s="10"/>
      <c r="D914" s="10"/>
      <c r="E914" s="10"/>
    </row>
    <row r="915" ht="22.5" customHeight="1">
      <c r="A915" s="10"/>
      <c r="B915" s="9"/>
      <c r="C915" s="10"/>
      <c r="D915" s="10"/>
      <c r="E915" s="10"/>
    </row>
    <row r="916" ht="22.5" customHeight="1">
      <c r="A916" s="10"/>
      <c r="B916" s="9"/>
      <c r="C916" s="10"/>
      <c r="D916" s="10"/>
      <c r="E916" s="10"/>
    </row>
    <row r="917" ht="22.5" customHeight="1">
      <c r="A917" s="10"/>
      <c r="B917" s="9"/>
      <c r="C917" s="10"/>
      <c r="D917" s="10"/>
      <c r="E917" s="10"/>
    </row>
    <row r="918" ht="22.5" customHeight="1">
      <c r="A918" s="10"/>
      <c r="B918" s="9"/>
      <c r="C918" s="10"/>
      <c r="D918" s="10"/>
      <c r="E918" s="10"/>
    </row>
    <row r="919" ht="22.5" customHeight="1">
      <c r="A919" s="10"/>
      <c r="B919" s="9"/>
      <c r="C919" s="10"/>
      <c r="D919" s="10"/>
      <c r="E919" s="10"/>
    </row>
    <row r="920" ht="22.5" customHeight="1">
      <c r="A920" s="10"/>
      <c r="B920" s="9"/>
      <c r="C920" s="10"/>
      <c r="D920" s="10"/>
      <c r="E920" s="10"/>
    </row>
    <row r="921" ht="22.5" customHeight="1">
      <c r="A921" s="10"/>
      <c r="B921" s="9"/>
      <c r="C921" s="10"/>
      <c r="D921" s="10"/>
      <c r="E921" s="10"/>
    </row>
    <row r="922" ht="22.5" customHeight="1">
      <c r="A922" s="10"/>
      <c r="B922" s="9"/>
      <c r="C922" s="10"/>
      <c r="D922" s="10"/>
      <c r="E922" s="10"/>
    </row>
    <row r="923" ht="22.5" customHeight="1">
      <c r="A923" s="10"/>
      <c r="B923" s="9"/>
      <c r="C923" s="10"/>
      <c r="D923" s="10"/>
      <c r="E923" s="10"/>
    </row>
    <row r="924" ht="22.5" customHeight="1">
      <c r="A924" s="10"/>
      <c r="B924" s="9"/>
      <c r="C924" s="10"/>
      <c r="D924" s="10"/>
      <c r="E924" s="10"/>
    </row>
    <row r="925" ht="22.5" customHeight="1">
      <c r="A925" s="10"/>
      <c r="B925" s="9"/>
      <c r="C925" s="10"/>
      <c r="D925" s="10"/>
      <c r="E925" s="10"/>
    </row>
    <row r="926" ht="22.5" customHeight="1">
      <c r="A926" s="10"/>
      <c r="B926" s="9"/>
      <c r="C926" s="10"/>
      <c r="D926" s="10"/>
      <c r="E926" s="10"/>
    </row>
    <row r="927" ht="22.5" customHeight="1">
      <c r="A927" s="10"/>
      <c r="B927" s="9"/>
      <c r="C927" s="10"/>
      <c r="D927" s="10"/>
      <c r="E927" s="10"/>
    </row>
    <row r="928" ht="22.5" customHeight="1">
      <c r="A928" s="10"/>
      <c r="B928" s="9"/>
      <c r="C928" s="10"/>
      <c r="D928" s="10"/>
      <c r="E928" s="10"/>
    </row>
    <row r="929" ht="22.5" customHeight="1">
      <c r="A929" s="10"/>
      <c r="B929" s="9"/>
      <c r="C929" s="10"/>
      <c r="D929" s="10"/>
      <c r="E929" s="10"/>
    </row>
    <row r="930" ht="22.5" customHeight="1">
      <c r="A930" s="10"/>
      <c r="B930" s="9"/>
      <c r="C930" s="10"/>
      <c r="D930" s="10"/>
      <c r="E930" s="10"/>
    </row>
    <row r="931" ht="22.5" customHeight="1">
      <c r="A931" s="10"/>
      <c r="B931" s="9"/>
      <c r="C931" s="10"/>
      <c r="D931" s="10"/>
      <c r="E931" s="10"/>
    </row>
    <row r="932" ht="22.5" customHeight="1">
      <c r="A932" s="10"/>
      <c r="B932" s="9"/>
      <c r="C932" s="10"/>
      <c r="D932" s="10"/>
      <c r="E932" s="10"/>
    </row>
    <row r="933" ht="22.5" customHeight="1">
      <c r="A933" s="10"/>
      <c r="B933" s="9"/>
      <c r="C933" s="10"/>
      <c r="D933" s="10"/>
      <c r="E933" s="10"/>
    </row>
    <row r="934" ht="22.5" customHeight="1">
      <c r="A934" s="10"/>
      <c r="B934" s="9"/>
      <c r="C934" s="10"/>
      <c r="D934" s="10"/>
      <c r="E934" s="10"/>
    </row>
    <row r="935" ht="22.5" customHeight="1">
      <c r="A935" s="10"/>
      <c r="B935" s="9"/>
      <c r="C935" s="10"/>
      <c r="D935" s="10"/>
      <c r="E935" s="10"/>
    </row>
    <row r="936" ht="22.5" customHeight="1">
      <c r="A936" s="10"/>
      <c r="B936" s="9"/>
      <c r="C936" s="10"/>
      <c r="D936" s="10"/>
      <c r="E936" s="10"/>
    </row>
    <row r="937" ht="22.5" customHeight="1">
      <c r="A937" s="10"/>
      <c r="B937" s="9"/>
      <c r="C937" s="10"/>
      <c r="D937" s="10"/>
      <c r="E937" s="10"/>
    </row>
    <row r="938" ht="22.5" customHeight="1">
      <c r="A938" s="10"/>
      <c r="B938" s="9"/>
      <c r="C938" s="10"/>
      <c r="D938" s="10"/>
      <c r="E938" s="10"/>
    </row>
    <row r="939" ht="22.5" customHeight="1">
      <c r="A939" s="10"/>
      <c r="B939" s="9"/>
      <c r="C939" s="10"/>
      <c r="D939" s="10"/>
      <c r="E939" s="10"/>
    </row>
    <row r="940" ht="22.5" customHeight="1">
      <c r="A940" s="10"/>
      <c r="B940" s="9"/>
      <c r="C940" s="10"/>
      <c r="D940" s="10"/>
      <c r="E940" s="10"/>
    </row>
    <row r="941" ht="22.5" customHeight="1">
      <c r="A941" s="10"/>
      <c r="B941" s="9"/>
      <c r="C941" s="10"/>
      <c r="D941" s="10"/>
      <c r="E941" s="10"/>
    </row>
    <row r="942" ht="22.5" customHeight="1">
      <c r="A942" s="10"/>
      <c r="B942" s="9"/>
      <c r="C942" s="10"/>
      <c r="D942" s="10"/>
      <c r="E942" s="10"/>
    </row>
    <row r="943" ht="22.5" customHeight="1">
      <c r="A943" s="10"/>
      <c r="B943" s="9"/>
      <c r="C943" s="10"/>
      <c r="D943" s="10"/>
      <c r="E943" s="10"/>
    </row>
    <row r="944" ht="22.5" customHeight="1">
      <c r="A944" s="10"/>
      <c r="B944" s="9"/>
      <c r="C944" s="10"/>
      <c r="D944" s="10"/>
      <c r="E944" s="10"/>
    </row>
    <row r="945" ht="22.5" customHeight="1">
      <c r="A945" s="10"/>
      <c r="B945" s="9"/>
      <c r="C945" s="10"/>
      <c r="D945" s="10"/>
      <c r="E945" s="10"/>
    </row>
    <row r="946" ht="22.5" customHeight="1">
      <c r="A946" s="10"/>
      <c r="B946" s="9"/>
      <c r="C946" s="10"/>
      <c r="D946" s="10"/>
      <c r="E946" s="10"/>
    </row>
    <row r="947" ht="22.5" customHeight="1">
      <c r="A947" s="10"/>
      <c r="B947" s="9"/>
      <c r="C947" s="10"/>
      <c r="D947" s="10"/>
      <c r="E947" s="10"/>
    </row>
    <row r="948" ht="22.5" customHeight="1">
      <c r="A948" s="10"/>
      <c r="B948" s="9"/>
      <c r="C948" s="10"/>
      <c r="D948" s="10"/>
      <c r="E948" s="10"/>
    </row>
    <row r="949" ht="22.5" customHeight="1">
      <c r="A949" s="10"/>
      <c r="B949" s="9"/>
      <c r="C949" s="10"/>
      <c r="D949" s="10"/>
      <c r="E949" s="10"/>
    </row>
    <row r="950" ht="22.5" customHeight="1">
      <c r="A950" s="10"/>
      <c r="B950" s="9"/>
      <c r="C950" s="10"/>
      <c r="D950" s="10"/>
      <c r="E950" s="10"/>
    </row>
    <row r="951" ht="22.5" customHeight="1">
      <c r="A951" s="10"/>
      <c r="B951" s="9"/>
      <c r="C951" s="10"/>
      <c r="D951" s="10"/>
      <c r="E951" s="10"/>
    </row>
    <row r="952" ht="22.5" customHeight="1">
      <c r="A952" s="10"/>
      <c r="B952" s="9"/>
      <c r="C952" s="10"/>
      <c r="D952" s="10"/>
      <c r="E952" s="10"/>
    </row>
    <row r="953" ht="22.5" customHeight="1">
      <c r="A953" s="10"/>
      <c r="B953" s="9"/>
      <c r="C953" s="10"/>
      <c r="D953" s="10"/>
      <c r="E953" s="10"/>
    </row>
    <row r="954" ht="22.5" customHeight="1">
      <c r="A954" s="10"/>
      <c r="B954" s="9"/>
      <c r="C954" s="10"/>
      <c r="D954" s="10"/>
      <c r="E954" s="10"/>
    </row>
    <row r="955" ht="22.5" customHeight="1">
      <c r="A955" s="10"/>
      <c r="B955" s="9"/>
      <c r="C955" s="10"/>
      <c r="D955" s="10"/>
      <c r="E955" s="10"/>
    </row>
    <row r="956" ht="22.5" customHeight="1">
      <c r="A956" s="10"/>
      <c r="B956" s="9"/>
      <c r="C956" s="10"/>
      <c r="D956" s="10"/>
      <c r="E956" s="10"/>
    </row>
    <row r="957" ht="22.5" customHeight="1">
      <c r="A957" s="10"/>
      <c r="B957" s="9"/>
      <c r="C957" s="10"/>
      <c r="D957" s="10"/>
      <c r="E957" s="10"/>
    </row>
    <row r="958" ht="22.5" customHeight="1">
      <c r="A958" s="10"/>
      <c r="B958" s="9"/>
      <c r="C958" s="10"/>
      <c r="D958" s="10"/>
      <c r="E958" s="10"/>
    </row>
    <row r="959" ht="22.5" customHeight="1">
      <c r="A959" s="10"/>
      <c r="B959" s="9"/>
      <c r="C959" s="10"/>
      <c r="D959" s="10"/>
      <c r="E959" s="10"/>
    </row>
    <row r="960" ht="22.5" customHeight="1">
      <c r="A960" s="10"/>
      <c r="B960" s="9"/>
      <c r="C960" s="10"/>
      <c r="D960" s="10"/>
      <c r="E960" s="10"/>
    </row>
    <row r="961" ht="22.5" customHeight="1">
      <c r="A961" s="10"/>
      <c r="B961" s="9"/>
      <c r="C961" s="10"/>
      <c r="D961" s="10"/>
      <c r="E961" s="10"/>
    </row>
    <row r="962" ht="22.5" customHeight="1">
      <c r="A962" s="10"/>
      <c r="B962" s="9"/>
      <c r="C962" s="10"/>
      <c r="D962" s="10"/>
      <c r="E962" s="10"/>
    </row>
    <row r="963" ht="22.5" customHeight="1">
      <c r="A963" s="10"/>
      <c r="B963" s="9"/>
      <c r="C963" s="10"/>
      <c r="D963" s="10"/>
      <c r="E963" s="10"/>
    </row>
    <row r="964" ht="22.5" customHeight="1">
      <c r="A964" s="10"/>
      <c r="B964" s="9"/>
      <c r="C964" s="10"/>
      <c r="D964" s="10"/>
      <c r="E964" s="10"/>
    </row>
    <row r="965" ht="22.5" customHeight="1">
      <c r="A965" s="10"/>
      <c r="B965" s="9"/>
      <c r="C965" s="10"/>
      <c r="D965" s="10"/>
      <c r="E965" s="10"/>
    </row>
    <row r="966" ht="22.5" customHeight="1">
      <c r="A966" s="10"/>
      <c r="B966" s="9"/>
      <c r="C966" s="10"/>
      <c r="D966" s="10"/>
      <c r="E966" s="10"/>
    </row>
    <row r="967" ht="22.5" customHeight="1">
      <c r="A967" s="10"/>
      <c r="B967" s="9"/>
      <c r="C967" s="10"/>
      <c r="D967" s="10"/>
      <c r="E967" s="10"/>
    </row>
    <row r="968" ht="22.5" customHeight="1">
      <c r="A968" s="10"/>
      <c r="B968" s="9"/>
      <c r="C968" s="10"/>
      <c r="D968" s="10"/>
      <c r="E968" s="10"/>
    </row>
    <row r="969" ht="22.5" customHeight="1">
      <c r="A969" s="10"/>
      <c r="B969" s="9"/>
      <c r="C969" s="10"/>
      <c r="D969" s="10"/>
      <c r="E969" s="10"/>
    </row>
    <row r="970" ht="22.5" customHeight="1">
      <c r="A970" s="10"/>
      <c r="B970" s="9"/>
      <c r="C970" s="10"/>
      <c r="D970" s="10"/>
      <c r="E970" s="10"/>
    </row>
    <row r="971" ht="22.5" customHeight="1">
      <c r="A971" s="10"/>
      <c r="B971" s="9"/>
      <c r="C971" s="10"/>
      <c r="D971" s="10"/>
      <c r="E971" s="10"/>
    </row>
    <row r="972" ht="22.5" customHeight="1">
      <c r="A972" s="10"/>
      <c r="B972" s="9"/>
      <c r="C972" s="10"/>
      <c r="D972" s="10"/>
      <c r="E972" s="10"/>
    </row>
    <row r="973" ht="22.5" customHeight="1">
      <c r="A973" s="10"/>
      <c r="B973" s="9"/>
      <c r="C973" s="10"/>
      <c r="D973" s="10"/>
      <c r="E973" s="10"/>
    </row>
    <row r="974" ht="22.5" customHeight="1">
      <c r="A974" s="10"/>
      <c r="B974" s="9"/>
      <c r="C974" s="10"/>
      <c r="D974" s="10"/>
      <c r="E974" s="10"/>
    </row>
    <row r="975" ht="22.5" customHeight="1">
      <c r="A975" s="10"/>
      <c r="B975" s="9"/>
      <c r="C975" s="10"/>
      <c r="D975" s="10"/>
      <c r="E975" s="10"/>
    </row>
    <row r="976" ht="22.5" customHeight="1">
      <c r="A976" s="10"/>
      <c r="B976" s="9"/>
      <c r="C976" s="10"/>
      <c r="D976" s="10"/>
      <c r="E976" s="10"/>
    </row>
    <row r="977" ht="22.5" customHeight="1">
      <c r="A977" s="10"/>
      <c r="B977" s="9"/>
      <c r="C977" s="10"/>
      <c r="D977" s="10"/>
      <c r="E977" s="10"/>
    </row>
    <row r="978" ht="22.5" customHeight="1">
      <c r="A978" s="10"/>
      <c r="B978" s="9"/>
      <c r="C978" s="10"/>
      <c r="D978" s="10"/>
      <c r="E978" s="10"/>
    </row>
    <row r="979" ht="22.5" customHeight="1">
      <c r="A979" s="10"/>
      <c r="B979" s="9"/>
      <c r="C979" s="10"/>
      <c r="D979" s="10"/>
      <c r="E979" s="10"/>
    </row>
    <row r="980" ht="22.5" customHeight="1">
      <c r="A980" s="10"/>
      <c r="B980" s="9"/>
      <c r="C980" s="10"/>
      <c r="D980" s="10"/>
      <c r="E980" s="10"/>
    </row>
    <row r="981" ht="22.5" customHeight="1">
      <c r="A981" s="10"/>
      <c r="B981" s="9"/>
      <c r="C981" s="10"/>
      <c r="D981" s="10"/>
      <c r="E981" s="10"/>
    </row>
    <row r="982" ht="22.5" customHeight="1">
      <c r="A982" s="10"/>
      <c r="B982" s="9"/>
      <c r="C982" s="10"/>
      <c r="D982" s="10"/>
      <c r="E982" s="10"/>
    </row>
    <row r="983" ht="22.5" customHeight="1">
      <c r="A983" s="10"/>
      <c r="B983" s="9"/>
      <c r="C983" s="10"/>
      <c r="D983" s="10"/>
      <c r="E983" s="10"/>
    </row>
    <row r="984" ht="22.5" customHeight="1">
      <c r="A984" s="10"/>
      <c r="B984" s="9"/>
      <c r="C984" s="10"/>
      <c r="D984" s="10"/>
      <c r="E984" s="10"/>
    </row>
    <row r="985" ht="22.5" customHeight="1">
      <c r="A985" s="10"/>
      <c r="B985" s="9"/>
      <c r="C985" s="10"/>
      <c r="D985" s="10"/>
      <c r="E985" s="10"/>
    </row>
    <row r="986" ht="22.5" customHeight="1">
      <c r="A986" s="10"/>
      <c r="B986" s="9"/>
      <c r="C986" s="10"/>
      <c r="D986" s="10"/>
      <c r="E986" s="10"/>
    </row>
    <row r="987" ht="22.5" customHeight="1">
      <c r="A987" s="10"/>
      <c r="B987" s="9"/>
      <c r="C987" s="10"/>
      <c r="D987" s="10"/>
      <c r="E987" s="10"/>
    </row>
    <row r="988" ht="22.5" customHeight="1">
      <c r="A988" s="10"/>
      <c r="B988" s="9"/>
      <c r="C988" s="10"/>
      <c r="D988" s="10"/>
      <c r="E988" s="10"/>
    </row>
    <row r="989" ht="22.5" customHeight="1">
      <c r="A989" s="10"/>
      <c r="B989" s="9"/>
      <c r="C989" s="10"/>
      <c r="D989" s="10"/>
      <c r="E989" s="10"/>
    </row>
    <row r="990" ht="22.5" customHeight="1">
      <c r="A990" s="10"/>
      <c r="B990" s="9"/>
      <c r="C990" s="10"/>
      <c r="D990" s="10"/>
      <c r="E990" s="10"/>
    </row>
    <row r="991" ht="22.5" customHeight="1">
      <c r="A991" s="10"/>
      <c r="B991" s="9"/>
      <c r="C991" s="10"/>
      <c r="D991" s="10"/>
      <c r="E991" s="10"/>
    </row>
    <row r="992" ht="22.5" customHeight="1">
      <c r="A992" s="10"/>
      <c r="B992" s="9"/>
      <c r="C992" s="10"/>
      <c r="D992" s="10"/>
      <c r="E992" s="10"/>
    </row>
    <row r="993" ht="22.5" customHeight="1">
      <c r="A993" s="10"/>
      <c r="B993" s="9"/>
      <c r="C993" s="10"/>
      <c r="D993" s="10"/>
      <c r="E993" s="10"/>
    </row>
    <row r="994" ht="22.5" customHeight="1">
      <c r="A994" s="10"/>
      <c r="B994" s="9"/>
      <c r="C994" s="10"/>
      <c r="D994" s="10"/>
      <c r="E994" s="10"/>
    </row>
    <row r="995" ht="22.5" customHeight="1">
      <c r="A995" s="10"/>
      <c r="B995" s="9"/>
      <c r="C995" s="10"/>
      <c r="D995" s="10"/>
      <c r="E995" s="10"/>
    </row>
    <row r="996" ht="22.5" customHeight="1">
      <c r="A996" s="10"/>
      <c r="B996" s="9"/>
      <c r="C996" s="10"/>
      <c r="D996" s="10"/>
      <c r="E996" s="10"/>
    </row>
    <row r="997" ht="22.5" customHeight="1">
      <c r="A997" s="10"/>
      <c r="B997" s="9"/>
      <c r="C997" s="10"/>
      <c r="D997" s="10"/>
      <c r="E997" s="10"/>
    </row>
    <row r="998" ht="22.5" customHeight="1">
      <c r="A998" s="10"/>
      <c r="B998" s="9"/>
      <c r="C998" s="10"/>
      <c r="D998" s="10"/>
      <c r="E998" s="10"/>
    </row>
    <row r="999" ht="22.5" customHeight="1">
      <c r="A999" s="10"/>
      <c r="B999" s="9"/>
      <c r="C999" s="10"/>
      <c r="D999" s="10"/>
      <c r="E999" s="10"/>
    </row>
    <row r="1000" ht="22.5" customHeight="1">
      <c r="A1000" s="10"/>
      <c r="B1000" s="9"/>
      <c r="C1000" s="10"/>
      <c r="D1000" s="10"/>
      <c r="E1000" s="10"/>
    </row>
    <row r="1001" ht="22.5" customHeight="1">
      <c r="A1001" s="10"/>
      <c r="B1001" s="9"/>
      <c r="C1001" s="10"/>
      <c r="D1001" s="10"/>
      <c r="E1001" s="10"/>
    </row>
    <row r="1002" ht="22.5" customHeight="1">
      <c r="A1002" s="10"/>
      <c r="B1002" s="9"/>
      <c r="C1002" s="10"/>
      <c r="D1002" s="10"/>
      <c r="E1002" s="10"/>
    </row>
    <row r="1003" ht="22.5" customHeight="1">
      <c r="A1003" s="10"/>
      <c r="B1003" s="9"/>
      <c r="C1003" s="10"/>
      <c r="D1003" s="10"/>
      <c r="E1003" s="10"/>
    </row>
    <row r="1004" ht="22.5" customHeight="1">
      <c r="A1004" s="10"/>
      <c r="B1004" s="9"/>
      <c r="C1004" s="10"/>
      <c r="D1004" s="10"/>
      <c r="E1004" s="10"/>
    </row>
  </sheetData>
  <dataValidations>
    <dataValidation type="list" allowBlank="1" sqref="B2:B1004">
      <formula1>" Agne Durakovic ,Agne Durakovic,Alexabder Sagalovic,Alexander Sagalovich,Amar I Mersudin Prentic,Amir Bajramovic,Anastazija Glavicic,Avdulah Destanovic,Balic Esad, Biljana Djikanovic Milic ,Bogavac Aleksandra,Bojadžić Sead,Branimir Lakicevic,Bulatović Gor"&amp;"an,Bulatovic Sinisa"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16.0"/>
    <col customWidth="1" min="4" max="4" width="13.63"/>
    <col customWidth="1" min="7" max="7" width="15.25"/>
    <col customWidth="1" min="8" max="8" width="15.75"/>
    <col customWidth="1" min="9" max="9" width="13.5"/>
  </cols>
  <sheetData>
    <row r="1" ht="22.5" customHeight="1">
      <c r="A1" s="1" t="s">
        <v>100</v>
      </c>
      <c r="B1" s="1" t="s">
        <v>65</v>
      </c>
      <c r="C1" s="1" t="s">
        <v>0</v>
      </c>
      <c r="D1" s="1" t="s">
        <v>18</v>
      </c>
      <c r="E1" s="1" t="s">
        <v>101</v>
      </c>
      <c r="F1" s="1" t="s">
        <v>102</v>
      </c>
      <c r="G1" s="11" t="s">
        <v>103</v>
      </c>
      <c r="H1" s="11" t="s">
        <v>104</v>
      </c>
      <c r="I1" s="1" t="s">
        <v>2</v>
      </c>
      <c r="J1" s="1" t="s">
        <v>105</v>
      </c>
      <c r="K1" s="12" t="s">
        <v>106</v>
      </c>
      <c r="L1" s="12" t="s">
        <v>107</v>
      </c>
      <c r="M1" s="12" t="s">
        <v>108</v>
      </c>
      <c r="N1" s="12" t="s">
        <v>109</v>
      </c>
      <c r="O1" s="12" t="s">
        <v>110</v>
      </c>
      <c r="P1" s="12" t="s">
        <v>111</v>
      </c>
      <c r="Q1" s="12" t="s">
        <v>112</v>
      </c>
      <c r="R1" s="12" t="s">
        <v>113</v>
      </c>
    </row>
    <row r="2" ht="22.5" customHeight="1">
      <c r="A2" s="4" t="s">
        <v>114</v>
      </c>
      <c r="B2" s="3" t="s">
        <v>70</v>
      </c>
      <c r="C2" s="3" t="s">
        <v>10</v>
      </c>
      <c r="D2" s="3" t="s">
        <v>23</v>
      </c>
      <c r="E2" s="4">
        <v>1200000.0</v>
      </c>
      <c r="F2" s="4">
        <v>2000.0</v>
      </c>
      <c r="G2" s="5">
        <v>45992.0</v>
      </c>
      <c r="H2" s="5">
        <v>45992.0</v>
      </c>
      <c r="I2" s="3" t="s">
        <v>115</v>
      </c>
      <c r="M2" s="13"/>
      <c r="O2" s="13"/>
    </row>
    <row r="3" ht="22.5" customHeight="1">
      <c r="A3" s="4" t="s">
        <v>116</v>
      </c>
      <c r="B3" s="3" t="s">
        <v>74</v>
      </c>
      <c r="C3" s="3" t="s">
        <v>10</v>
      </c>
      <c r="D3" s="3" t="s">
        <v>27</v>
      </c>
      <c r="E3" s="4">
        <v>950000.0</v>
      </c>
      <c r="F3" s="4">
        <v>1900.0</v>
      </c>
      <c r="G3" s="5">
        <v>45996.0</v>
      </c>
      <c r="H3" s="5">
        <v>45996.0</v>
      </c>
      <c r="I3" s="3" t="s">
        <v>115</v>
      </c>
      <c r="M3" s="13"/>
      <c r="O3" s="13"/>
    </row>
    <row r="4" ht="22.5" customHeight="1">
      <c r="A4" s="4" t="s">
        <v>117</v>
      </c>
      <c r="B4" s="3" t="s">
        <v>76</v>
      </c>
      <c r="C4" s="3" t="s">
        <v>10</v>
      </c>
      <c r="D4" s="3" t="s">
        <v>31</v>
      </c>
      <c r="E4" s="4">
        <v>1500000.0</v>
      </c>
      <c r="F4" s="4">
        <v>2100.0</v>
      </c>
      <c r="G4" s="5">
        <v>46032.0</v>
      </c>
      <c r="H4" s="5">
        <v>46032.0</v>
      </c>
      <c r="I4" s="3" t="s">
        <v>115</v>
      </c>
      <c r="M4" s="13"/>
      <c r="O4" s="13"/>
    </row>
    <row r="5" ht="22.5" customHeight="1">
      <c r="A5" s="4" t="s">
        <v>118</v>
      </c>
      <c r="B5" s="3" t="s">
        <v>78</v>
      </c>
      <c r="C5" s="3" t="s">
        <v>13</v>
      </c>
      <c r="D5" s="3" t="s">
        <v>47</v>
      </c>
      <c r="E5" s="4">
        <v>1100000.0</v>
      </c>
      <c r="F5" s="4">
        <v>1800.0</v>
      </c>
      <c r="G5" s="5">
        <v>46054.0</v>
      </c>
      <c r="H5" s="5">
        <v>46054.0</v>
      </c>
      <c r="I5" s="3" t="s">
        <v>115</v>
      </c>
      <c r="M5" s="13"/>
      <c r="O5" s="13"/>
    </row>
    <row r="6" ht="22.5" customHeight="1">
      <c r="A6" s="4" t="s">
        <v>119</v>
      </c>
      <c r="B6" s="3" t="s">
        <v>80</v>
      </c>
      <c r="C6" s="3" t="s">
        <v>13</v>
      </c>
      <c r="D6" s="3" t="s">
        <v>49</v>
      </c>
      <c r="E6" s="4">
        <v>1300000.0</v>
      </c>
      <c r="F6" s="4">
        <v>2000.0</v>
      </c>
      <c r="G6" s="5">
        <v>46068.0</v>
      </c>
      <c r="H6" s="5">
        <v>46068.0</v>
      </c>
      <c r="I6" s="3" t="s">
        <v>115</v>
      </c>
      <c r="M6" s="13"/>
      <c r="O6" s="13"/>
    </row>
    <row r="7" ht="22.5" customHeight="1">
      <c r="A7" s="4" t="s">
        <v>120</v>
      </c>
      <c r="B7" s="6"/>
      <c r="C7" s="6"/>
      <c r="D7" s="6"/>
      <c r="G7" s="7"/>
      <c r="H7" s="7"/>
      <c r="I7" s="6"/>
      <c r="K7" s="10"/>
      <c r="L7" s="10"/>
      <c r="M7" s="10"/>
      <c r="N7" s="10"/>
      <c r="O7" s="10"/>
      <c r="P7" s="10"/>
      <c r="Q7" s="10"/>
      <c r="R7" s="10"/>
    </row>
    <row r="8" ht="22.5" customHeight="1">
      <c r="A8" s="4" t="s">
        <v>121</v>
      </c>
      <c r="B8" s="6"/>
      <c r="C8" s="6"/>
      <c r="D8" s="6"/>
      <c r="G8" s="7"/>
      <c r="H8" s="7"/>
      <c r="I8" s="6"/>
      <c r="K8" s="10"/>
      <c r="L8" s="10"/>
      <c r="M8" s="10"/>
      <c r="N8" s="10"/>
      <c r="O8" s="10"/>
      <c r="P8" s="10"/>
      <c r="Q8" s="10"/>
      <c r="R8" s="10"/>
    </row>
    <row r="9" ht="22.5" customHeight="1">
      <c r="A9" s="4" t="s">
        <v>122</v>
      </c>
      <c r="B9" s="6"/>
      <c r="C9" s="6"/>
      <c r="D9" s="6"/>
      <c r="G9" s="7"/>
      <c r="H9" s="7"/>
      <c r="I9" s="6"/>
      <c r="K9" s="10"/>
      <c r="L9" s="10"/>
      <c r="M9" s="10"/>
      <c r="N9" s="10"/>
      <c r="O9" s="10"/>
      <c r="P9" s="10"/>
      <c r="Q9" s="10"/>
      <c r="R9" s="10"/>
    </row>
    <row r="10" ht="22.5" customHeight="1">
      <c r="A10" s="4" t="s">
        <v>123</v>
      </c>
      <c r="B10" s="6"/>
      <c r="C10" s="6"/>
      <c r="D10" s="6"/>
      <c r="G10" s="7"/>
      <c r="H10" s="7"/>
      <c r="I10" s="6"/>
      <c r="K10" s="10"/>
      <c r="L10" s="10"/>
      <c r="M10" s="10"/>
      <c r="N10" s="10"/>
      <c r="O10" s="10"/>
      <c r="P10" s="10"/>
      <c r="Q10" s="10"/>
      <c r="R10" s="10"/>
    </row>
    <row r="11" ht="22.5" customHeight="1">
      <c r="A11" s="4" t="s">
        <v>124</v>
      </c>
      <c r="B11" s="6"/>
      <c r="C11" s="6"/>
      <c r="D11" s="6"/>
      <c r="G11" s="7"/>
      <c r="H11" s="7"/>
      <c r="I11" s="6"/>
      <c r="K11" s="10"/>
      <c r="L11" s="10"/>
      <c r="M11" s="10"/>
      <c r="N11" s="10"/>
      <c r="O11" s="10"/>
      <c r="P11" s="10"/>
      <c r="Q11" s="10"/>
      <c r="R11" s="10"/>
    </row>
    <row r="12" ht="22.5" customHeight="1">
      <c r="A12" s="4" t="s">
        <v>125</v>
      </c>
      <c r="B12" s="6"/>
      <c r="C12" s="6"/>
      <c r="D12" s="6"/>
      <c r="G12" s="7"/>
      <c r="H12" s="7"/>
      <c r="I12" s="6"/>
      <c r="K12" s="10"/>
      <c r="L12" s="10"/>
      <c r="M12" s="10"/>
      <c r="N12" s="10"/>
      <c r="O12" s="10"/>
      <c r="P12" s="10"/>
      <c r="Q12" s="10"/>
      <c r="R12" s="10"/>
    </row>
    <row r="13" ht="22.5" customHeight="1">
      <c r="A13" s="4" t="s">
        <v>126</v>
      </c>
      <c r="B13" s="6"/>
      <c r="C13" s="6"/>
      <c r="D13" s="6"/>
      <c r="G13" s="7"/>
      <c r="H13" s="7"/>
      <c r="I13" s="6"/>
      <c r="K13" s="10"/>
      <c r="L13" s="10"/>
      <c r="M13" s="10"/>
      <c r="N13" s="10"/>
      <c r="O13" s="10"/>
      <c r="P13" s="10"/>
      <c r="Q13" s="10"/>
      <c r="R13" s="10"/>
    </row>
    <row r="14" ht="22.5" customHeight="1">
      <c r="A14" s="4" t="s">
        <v>127</v>
      </c>
      <c r="B14" s="6"/>
      <c r="C14" s="6"/>
      <c r="D14" s="6"/>
      <c r="G14" s="7"/>
      <c r="H14" s="7"/>
      <c r="I14" s="6"/>
      <c r="K14" s="10"/>
      <c r="L14" s="10"/>
      <c r="M14" s="10"/>
      <c r="N14" s="10"/>
      <c r="O14" s="10"/>
      <c r="P14" s="10"/>
      <c r="Q14" s="10"/>
      <c r="R14" s="10"/>
    </row>
    <row r="15" ht="22.5" customHeight="1">
      <c r="A15" s="4" t="s">
        <v>128</v>
      </c>
      <c r="B15" s="6"/>
      <c r="C15" s="6"/>
      <c r="D15" s="6"/>
      <c r="G15" s="7"/>
      <c r="H15" s="7"/>
      <c r="I15" s="6"/>
      <c r="K15" s="10"/>
      <c r="L15" s="10"/>
      <c r="M15" s="10"/>
      <c r="N15" s="10"/>
      <c r="O15" s="10"/>
      <c r="P15" s="10"/>
      <c r="Q15" s="10"/>
      <c r="R15" s="10"/>
    </row>
    <row r="16" ht="22.5" customHeight="1">
      <c r="A16" s="4" t="s">
        <v>129</v>
      </c>
      <c r="B16" s="6"/>
      <c r="C16" s="6"/>
      <c r="D16" s="6"/>
      <c r="G16" s="7"/>
      <c r="H16" s="7"/>
      <c r="I16" s="6"/>
      <c r="K16" s="10"/>
      <c r="L16" s="10"/>
      <c r="M16" s="10"/>
      <c r="N16" s="10"/>
      <c r="O16" s="10"/>
      <c r="P16" s="10"/>
      <c r="Q16" s="10"/>
      <c r="R16" s="10"/>
    </row>
    <row r="17" ht="22.5" customHeight="1">
      <c r="A17" s="4" t="s">
        <v>130</v>
      </c>
      <c r="B17" s="6"/>
      <c r="C17" s="6"/>
      <c r="D17" s="6"/>
      <c r="G17" s="7"/>
      <c r="H17" s="7"/>
      <c r="I17" s="6"/>
      <c r="K17" s="10"/>
      <c r="L17" s="10"/>
      <c r="M17" s="10"/>
      <c r="N17" s="10"/>
      <c r="O17" s="10"/>
      <c r="P17" s="10"/>
      <c r="Q17" s="10"/>
      <c r="R17" s="10"/>
    </row>
    <row r="18" ht="22.5" customHeight="1">
      <c r="A18" s="4" t="s">
        <v>131</v>
      </c>
      <c r="B18" s="6"/>
      <c r="C18" s="6"/>
      <c r="D18" s="6"/>
      <c r="G18" s="7"/>
      <c r="H18" s="7"/>
      <c r="I18" s="6"/>
      <c r="K18" s="10"/>
      <c r="L18" s="10"/>
      <c r="M18" s="10"/>
      <c r="N18" s="10"/>
      <c r="O18" s="10"/>
      <c r="P18" s="10"/>
      <c r="Q18" s="10"/>
      <c r="R18" s="10"/>
    </row>
    <row r="19" ht="22.5" customHeight="1">
      <c r="A19" s="4" t="s">
        <v>132</v>
      </c>
      <c r="B19" s="6"/>
      <c r="C19" s="6"/>
      <c r="D19" s="6"/>
      <c r="G19" s="7"/>
      <c r="H19" s="7"/>
      <c r="I19" s="6"/>
      <c r="K19" s="10"/>
      <c r="L19" s="10"/>
      <c r="M19" s="10"/>
      <c r="N19" s="10"/>
      <c r="O19" s="10"/>
      <c r="P19" s="10"/>
      <c r="Q19" s="10"/>
      <c r="R19" s="10"/>
    </row>
    <row r="20" ht="22.5" customHeight="1">
      <c r="A20" s="4" t="s">
        <v>133</v>
      </c>
      <c r="B20" s="6"/>
      <c r="C20" s="6"/>
      <c r="D20" s="6"/>
      <c r="G20" s="7"/>
      <c r="H20" s="7"/>
      <c r="I20" s="6"/>
      <c r="K20" s="10"/>
      <c r="L20" s="10"/>
      <c r="M20" s="10"/>
      <c r="N20" s="10"/>
      <c r="O20" s="10"/>
      <c r="P20" s="10"/>
      <c r="Q20" s="10"/>
      <c r="R20" s="10"/>
    </row>
    <row r="21" ht="22.5" customHeight="1">
      <c r="B21" s="6"/>
      <c r="C21" s="6"/>
      <c r="D21" s="6"/>
      <c r="G21" s="7"/>
      <c r="H21" s="7"/>
      <c r="I21" s="6"/>
      <c r="K21" s="10"/>
      <c r="L21" s="10"/>
      <c r="M21" s="10"/>
      <c r="N21" s="10"/>
      <c r="O21" s="10"/>
      <c r="P21" s="10"/>
      <c r="Q21" s="10"/>
      <c r="R21" s="10"/>
    </row>
    <row r="22" ht="22.5" customHeight="1">
      <c r="B22" s="6"/>
      <c r="C22" s="6"/>
      <c r="D22" s="6"/>
      <c r="G22" s="7"/>
      <c r="H22" s="7"/>
      <c r="I22" s="6"/>
      <c r="K22" s="10"/>
      <c r="L22" s="10"/>
      <c r="M22" s="10"/>
      <c r="N22" s="10"/>
      <c r="O22" s="10"/>
      <c r="P22" s="10"/>
      <c r="Q22" s="10"/>
      <c r="R22" s="10"/>
    </row>
    <row r="23" ht="22.5" customHeight="1">
      <c r="B23" s="6"/>
      <c r="C23" s="6"/>
      <c r="D23" s="6"/>
      <c r="G23" s="7"/>
      <c r="H23" s="7"/>
      <c r="I23" s="6"/>
      <c r="K23" s="10"/>
      <c r="L23" s="10"/>
      <c r="M23" s="10"/>
      <c r="N23" s="10"/>
      <c r="O23" s="10"/>
      <c r="P23" s="10"/>
      <c r="Q23" s="10"/>
      <c r="R23" s="10"/>
    </row>
    <row r="24" ht="22.5" customHeight="1">
      <c r="B24" s="6"/>
      <c r="C24" s="6"/>
      <c r="D24" s="6"/>
      <c r="G24" s="7"/>
      <c r="H24" s="7"/>
      <c r="I24" s="6"/>
      <c r="K24" s="10"/>
      <c r="L24" s="10"/>
      <c r="M24" s="10"/>
      <c r="N24" s="10"/>
      <c r="O24" s="10"/>
      <c r="P24" s="10"/>
      <c r="Q24" s="10"/>
      <c r="R24" s="10"/>
    </row>
    <row r="25" ht="22.5" customHeight="1">
      <c r="B25" s="6"/>
      <c r="C25" s="6"/>
      <c r="D25" s="6"/>
      <c r="G25" s="7"/>
      <c r="H25" s="7"/>
      <c r="I25" s="6"/>
      <c r="K25" s="10"/>
      <c r="L25" s="10"/>
      <c r="M25" s="10"/>
      <c r="N25" s="10"/>
      <c r="O25" s="10"/>
      <c r="P25" s="10"/>
      <c r="Q25" s="10"/>
      <c r="R25" s="10"/>
    </row>
    <row r="26" ht="22.5" customHeight="1">
      <c r="B26" s="6"/>
      <c r="C26" s="6"/>
      <c r="D26" s="6"/>
      <c r="G26" s="7"/>
      <c r="H26" s="7"/>
      <c r="I26" s="6"/>
      <c r="K26" s="10"/>
      <c r="L26" s="10"/>
      <c r="M26" s="10"/>
      <c r="N26" s="10"/>
      <c r="O26" s="10"/>
      <c r="P26" s="10"/>
      <c r="Q26" s="10"/>
      <c r="R26" s="10"/>
    </row>
    <row r="27" ht="22.5" customHeight="1">
      <c r="B27" s="6"/>
      <c r="C27" s="6"/>
      <c r="D27" s="6"/>
      <c r="G27" s="7"/>
      <c r="H27" s="7"/>
      <c r="I27" s="6"/>
      <c r="K27" s="10"/>
      <c r="L27" s="10"/>
      <c r="M27" s="10"/>
      <c r="N27" s="10"/>
      <c r="O27" s="10"/>
      <c r="P27" s="10"/>
      <c r="Q27" s="10"/>
      <c r="R27" s="10"/>
    </row>
    <row r="28" ht="22.5" customHeight="1">
      <c r="B28" s="6"/>
      <c r="C28" s="6"/>
      <c r="D28" s="6"/>
      <c r="G28" s="7"/>
      <c r="H28" s="7"/>
      <c r="I28" s="6"/>
      <c r="K28" s="10"/>
      <c r="L28" s="10"/>
      <c r="M28" s="10"/>
      <c r="N28" s="10"/>
      <c r="O28" s="10"/>
      <c r="P28" s="10"/>
      <c r="Q28" s="10"/>
      <c r="R28" s="10"/>
    </row>
    <row r="29">
      <c r="G29" s="14"/>
      <c r="H29" s="14"/>
    </row>
    <row r="30">
      <c r="G30" s="14"/>
      <c r="H30" s="14"/>
    </row>
    <row r="31">
      <c r="G31" s="14"/>
      <c r="H31" s="14"/>
    </row>
    <row r="32">
      <c r="G32" s="14"/>
      <c r="H32" s="14"/>
    </row>
    <row r="33">
      <c r="G33" s="14"/>
      <c r="H33" s="14"/>
    </row>
    <row r="34">
      <c r="G34" s="14"/>
      <c r="H34" s="14"/>
    </row>
    <row r="35">
      <c r="G35" s="14"/>
      <c r="H35" s="14"/>
    </row>
    <row r="36">
      <c r="G36" s="14"/>
      <c r="H36" s="14"/>
    </row>
    <row r="37">
      <c r="G37" s="14"/>
      <c r="H37" s="14"/>
    </row>
    <row r="38">
      <c r="G38" s="14"/>
      <c r="H38" s="14"/>
    </row>
    <row r="39">
      <c r="G39" s="14"/>
      <c r="H39" s="14"/>
    </row>
    <row r="40">
      <c r="G40" s="14"/>
      <c r="H40" s="14"/>
    </row>
    <row r="41">
      <c r="G41" s="14"/>
      <c r="H41" s="14"/>
    </row>
    <row r="42">
      <c r="G42" s="14"/>
      <c r="H42" s="14"/>
    </row>
    <row r="43">
      <c r="G43" s="14"/>
      <c r="H43" s="14"/>
    </row>
    <row r="44">
      <c r="G44" s="14"/>
      <c r="H44" s="14"/>
    </row>
    <row r="45">
      <c r="G45" s="14"/>
      <c r="H45" s="14"/>
    </row>
    <row r="46">
      <c r="G46" s="14"/>
      <c r="H46" s="14"/>
    </row>
    <row r="47">
      <c r="G47" s="14"/>
      <c r="H47" s="14"/>
    </row>
    <row r="48">
      <c r="G48" s="14"/>
      <c r="H48" s="14"/>
    </row>
    <row r="49">
      <c r="G49" s="14"/>
      <c r="H49" s="14"/>
    </row>
    <row r="50">
      <c r="G50" s="14"/>
      <c r="H50" s="14"/>
    </row>
    <row r="51">
      <c r="G51" s="14"/>
      <c r="H51" s="14"/>
    </row>
    <row r="52">
      <c r="G52" s="14"/>
      <c r="H52" s="14"/>
    </row>
    <row r="53">
      <c r="G53" s="14"/>
      <c r="H53" s="14"/>
    </row>
    <row r="54">
      <c r="G54" s="14"/>
      <c r="H54" s="14"/>
    </row>
    <row r="55">
      <c r="G55" s="14"/>
      <c r="H55" s="14"/>
    </row>
    <row r="56">
      <c r="G56" s="14"/>
      <c r="H56" s="14"/>
    </row>
    <row r="57">
      <c r="G57" s="14"/>
      <c r="H57" s="14"/>
    </row>
    <row r="58">
      <c r="G58" s="14"/>
      <c r="H58" s="14"/>
    </row>
    <row r="59">
      <c r="G59" s="14"/>
      <c r="H59" s="14"/>
    </row>
    <row r="60">
      <c r="G60" s="14"/>
      <c r="H60" s="14"/>
    </row>
    <row r="61">
      <c r="G61" s="14"/>
      <c r="H61" s="14"/>
    </row>
    <row r="62">
      <c r="G62" s="14"/>
      <c r="H62" s="14"/>
    </row>
    <row r="63">
      <c r="G63" s="14"/>
      <c r="H63" s="14"/>
    </row>
    <row r="64">
      <c r="G64" s="14"/>
      <c r="H64" s="14"/>
    </row>
    <row r="65">
      <c r="G65" s="14"/>
      <c r="H65" s="14"/>
    </row>
    <row r="66">
      <c r="G66" s="14"/>
      <c r="H66" s="14"/>
    </row>
    <row r="67">
      <c r="G67" s="14"/>
      <c r="H67" s="14"/>
    </row>
    <row r="68">
      <c r="G68" s="14"/>
      <c r="H68" s="14"/>
    </row>
    <row r="69">
      <c r="G69" s="14"/>
      <c r="H69" s="14"/>
    </row>
    <row r="70">
      <c r="G70" s="14"/>
      <c r="H70" s="14"/>
    </row>
    <row r="71">
      <c r="G71" s="14"/>
      <c r="H71" s="14"/>
    </row>
    <row r="72">
      <c r="G72" s="14"/>
      <c r="H72" s="14"/>
    </row>
    <row r="73">
      <c r="G73" s="14"/>
      <c r="H73" s="14"/>
    </row>
    <row r="74">
      <c r="G74" s="14"/>
      <c r="H74" s="14"/>
    </row>
    <row r="75">
      <c r="G75" s="14"/>
      <c r="H75" s="14"/>
    </row>
    <row r="76">
      <c r="G76" s="14"/>
      <c r="H76" s="14"/>
    </row>
    <row r="77">
      <c r="G77" s="14"/>
      <c r="H77" s="14"/>
    </row>
    <row r="78">
      <c r="G78" s="14"/>
      <c r="H78" s="14"/>
    </row>
    <row r="79">
      <c r="G79" s="14"/>
      <c r="H79" s="14"/>
    </row>
    <row r="80">
      <c r="G80" s="14"/>
      <c r="H80" s="14"/>
    </row>
    <row r="81">
      <c r="G81" s="14"/>
      <c r="H81" s="14"/>
    </row>
    <row r="82">
      <c r="G82" s="14"/>
      <c r="H82" s="14"/>
    </row>
    <row r="83">
      <c r="G83" s="14"/>
      <c r="H83" s="14"/>
    </row>
    <row r="84">
      <c r="G84" s="14"/>
      <c r="H84" s="14"/>
    </row>
    <row r="85">
      <c r="G85" s="14"/>
      <c r="H85" s="14"/>
    </row>
    <row r="86">
      <c r="G86" s="14"/>
      <c r="H86" s="14"/>
    </row>
    <row r="87">
      <c r="G87" s="14"/>
      <c r="H87" s="14"/>
    </row>
    <row r="88">
      <c r="G88" s="14"/>
      <c r="H88" s="14"/>
    </row>
    <row r="89">
      <c r="G89" s="14"/>
      <c r="H89" s="14"/>
    </row>
    <row r="90">
      <c r="G90" s="14"/>
      <c r="H90" s="14"/>
    </row>
    <row r="91">
      <c r="G91" s="14"/>
      <c r="H91" s="14"/>
    </row>
    <row r="92">
      <c r="G92" s="14"/>
      <c r="H92" s="14"/>
    </row>
    <row r="93">
      <c r="G93" s="14"/>
      <c r="H93" s="14"/>
    </row>
    <row r="94">
      <c r="G94" s="14"/>
      <c r="H94" s="14"/>
    </row>
    <row r="95">
      <c r="G95" s="14"/>
      <c r="H95" s="14"/>
    </row>
    <row r="96">
      <c r="G96" s="14"/>
      <c r="H96" s="14"/>
    </row>
    <row r="97">
      <c r="G97" s="14"/>
      <c r="H97" s="14"/>
    </row>
    <row r="98">
      <c r="G98" s="14"/>
      <c r="H98" s="14"/>
    </row>
    <row r="99">
      <c r="G99" s="14"/>
      <c r="H99" s="14"/>
    </row>
    <row r="100">
      <c r="G100" s="14"/>
      <c r="H100" s="14"/>
    </row>
    <row r="101">
      <c r="G101" s="14"/>
      <c r="H101" s="14"/>
    </row>
    <row r="102">
      <c r="G102" s="14"/>
      <c r="H102" s="14"/>
    </row>
    <row r="103">
      <c r="G103" s="14"/>
      <c r="H103" s="14"/>
    </row>
    <row r="104">
      <c r="G104" s="14"/>
      <c r="H104" s="14"/>
    </row>
    <row r="105">
      <c r="G105" s="14"/>
      <c r="H105" s="14"/>
    </row>
    <row r="106">
      <c r="G106" s="14"/>
      <c r="H106" s="14"/>
    </row>
    <row r="107">
      <c r="G107" s="14"/>
      <c r="H107" s="14"/>
    </row>
    <row r="108">
      <c r="G108" s="14"/>
      <c r="H108" s="14"/>
    </row>
    <row r="109">
      <c r="G109" s="14"/>
      <c r="H109" s="14"/>
    </row>
    <row r="110">
      <c r="G110" s="14"/>
      <c r="H110" s="14"/>
    </row>
    <row r="111">
      <c r="G111" s="14"/>
      <c r="H111" s="14"/>
    </row>
    <row r="112">
      <c r="G112" s="14"/>
      <c r="H112" s="14"/>
    </row>
    <row r="113">
      <c r="G113" s="14"/>
      <c r="H113" s="14"/>
    </row>
    <row r="114">
      <c r="G114" s="14"/>
      <c r="H114" s="14"/>
    </row>
    <row r="115">
      <c r="G115" s="14"/>
      <c r="H115" s="14"/>
    </row>
    <row r="116">
      <c r="G116" s="14"/>
      <c r="H116" s="14"/>
    </row>
    <row r="117">
      <c r="G117" s="14"/>
      <c r="H117" s="14"/>
    </row>
    <row r="118">
      <c r="G118" s="14"/>
      <c r="H118" s="14"/>
    </row>
    <row r="119">
      <c r="G119" s="14"/>
      <c r="H119" s="14"/>
    </row>
    <row r="120">
      <c r="G120" s="14"/>
      <c r="H120" s="14"/>
    </row>
    <row r="121">
      <c r="G121" s="14"/>
      <c r="H121" s="14"/>
    </row>
    <row r="122">
      <c r="G122" s="14"/>
      <c r="H122" s="14"/>
    </row>
    <row r="123">
      <c r="G123" s="14"/>
      <c r="H123" s="14"/>
    </row>
    <row r="124">
      <c r="G124" s="14"/>
      <c r="H124" s="14"/>
    </row>
    <row r="125">
      <c r="G125" s="14"/>
      <c r="H125" s="14"/>
    </row>
    <row r="126">
      <c r="G126" s="14"/>
      <c r="H126" s="14"/>
    </row>
    <row r="127">
      <c r="G127" s="14"/>
      <c r="H127" s="14"/>
    </row>
    <row r="128">
      <c r="G128" s="14"/>
      <c r="H128" s="14"/>
    </row>
    <row r="129">
      <c r="G129" s="14"/>
      <c r="H129" s="14"/>
    </row>
    <row r="130">
      <c r="G130" s="14"/>
      <c r="H130" s="14"/>
    </row>
    <row r="131">
      <c r="G131" s="14"/>
      <c r="H131" s="14"/>
    </row>
    <row r="132">
      <c r="G132" s="14"/>
      <c r="H132" s="14"/>
    </row>
    <row r="133">
      <c r="G133" s="14"/>
      <c r="H133" s="14"/>
    </row>
    <row r="134">
      <c r="G134" s="14"/>
      <c r="H134" s="14"/>
    </row>
    <row r="135">
      <c r="G135" s="14"/>
      <c r="H135" s="14"/>
    </row>
    <row r="136">
      <c r="G136" s="14"/>
      <c r="H136" s="14"/>
    </row>
    <row r="137">
      <c r="G137" s="14"/>
      <c r="H137" s="14"/>
    </row>
    <row r="138">
      <c r="G138" s="14"/>
      <c r="H138" s="14"/>
    </row>
    <row r="139">
      <c r="G139" s="14"/>
      <c r="H139" s="14"/>
    </row>
    <row r="140">
      <c r="G140" s="14"/>
      <c r="H140" s="14"/>
    </row>
    <row r="141">
      <c r="G141" s="14"/>
      <c r="H141" s="14"/>
    </row>
    <row r="142">
      <c r="G142" s="14"/>
      <c r="H142" s="14"/>
    </row>
    <row r="143">
      <c r="G143" s="14"/>
      <c r="H143" s="14"/>
    </row>
    <row r="144">
      <c r="G144" s="14"/>
      <c r="H144" s="14"/>
    </row>
    <row r="145">
      <c r="G145" s="14"/>
      <c r="H145" s="14"/>
    </row>
    <row r="146">
      <c r="G146" s="14"/>
      <c r="H146" s="14"/>
    </row>
    <row r="147">
      <c r="G147" s="14"/>
      <c r="H147" s="14"/>
    </row>
    <row r="148">
      <c r="G148" s="14"/>
      <c r="H148" s="14"/>
    </row>
    <row r="149">
      <c r="G149" s="14"/>
      <c r="H149" s="14"/>
    </row>
    <row r="150">
      <c r="G150" s="14"/>
      <c r="H150" s="14"/>
    </row>
    <row r="151">
      <c r="G151" s="14"/>
      <c r="H151" s="14"/>
    </row>
    <row r="152">
      <c r="G152" s="14"/>
      <c r="H152" s="14"/>
    </row>
    <row r="153">
      <c r="G153" s="14"/>
      <c r="H153" s="14"/>
    </row>
    <row r="154">
      <c r="G154" s="14"/>
      <c r="H154" s="14"/>
    </row>
    <row r="155">
      <c r="G155" s="14"/>
      <c r="H155" s="14"/>
    </row>
    <row r="156">
      <c r="G156" s="14"/>
      <c r="H156" s="14"/>
    </row>
    <row r="157">
      <c r="G157" s="14"/>
      <c r="H157" s="14"/>
    </row>
    <row r="158">
      <c r="G158" s="14"/>
      <c r="H158" s="14"/>
    </row>
    <row r="159">
      <c r="G159" s="14"/>
      <c r="H159" s="14"/>
    </row>
    <row r="160">
      <c r="G160" s="14"/>
      <c r="H160" s="14"/>
    </row>
    <row r="161">
      <c r="G161" s="14"/>
      <c r="H161" s="14"/>
    </row>
    <row r="162">
      <c r="G162" s="14"/>
      <c r="H162" s="14"/>
    </row>
    <row r="163">
      <c r="G163" s="14"/>
      <c r="H163" s="14"/>
    </row>
    <row r="164">
      <c r="G164" s="14"/>
      <c r="H164" s="14"/>
    </row>
    <row r="165">
      <c r="G165" s="14"/>
      <c r="H165" s="14"/>
    </row>
    <row r="166">
      <c r="G166" s="14"/>
      <c r="H166" s="14"/>
    </row>
    <row r="167">
      <c r="G167" s="14"/>
      <c r="H167" s="14"/>
    </row>
    <row r="168">
      <c r="G168" s="14"/>
      <c r="H168" s="14"/>
    </row>
    <row r="169">
      <c r="G169" s="14"/>
      <c r="H169" s="14"/>
    </row>
    <row r="170">
      <c r="G170" s="14"/>
      <c r="H170" s="14"/>
    </row>
    <row r="171">
      <c r="G171" s="14"/>
      <c r="H171" s="14"/>
    </row>
    <row r="172">
      <c r="G172" s="14"/>
      <c r="H172" s="14"/>
    </row>
    <row r="173">
      <c r="G173" s="14"/>
      <c r="H173" s="14"/>
    </row>
    <row r="174">
      <c r="G174" s="14"/>
      <c r="H174" s="14"/>
    </row>
    <row r="175">
      <c r="G175" s="14"/>
      <c r="H175" s="14"/>
    </row>
    <row r="176">
      <c r="G176" s="14"/>
      <c r="H176" s="14"/>
    </row>
    <row r="177">
      <c r="G177" s="14"/>
      <c r="H177" s="14"/>
    </row>
    <row r="178">
      <c r="G178" s="14"/>
      <c r="H178" s="14"/>
    </row>
    <row r="179">
      <c r="G179" s="14"/>
      <c r="H179" s="14"/>
    </row>
    <row r="180">
      <c r="G180" s="14"/>
      <c r="H180" s="14"/>
    </row>
    <row r="181">
      <c r="G181" s="14"/>
      <c r="H181" s="14"/>
    </row>
    <row r="182">
      <c r="G182" s="14"/>
      <c r="H182" s="14"/>
    </row>
    <row r="183">
      <c r="G183" s="14"/>
      <c r="H183" s="14"/>
    </row>
    <row r="184">
      <c r="G184" s="14"/>
      <c r="H184" s="14"/>
    </row>
    <row r="185">
      <c r="G185" s="14"/>
      <c r="H185" s="14"/>
    </row>
    <row r="186">
      <c r="G186" s="14"/>
      <c r="H186" s="14"/>
    </row>
    <row r="187">
      <c r="G187" s="14"/>
      <c r="H187" s="14"/>
    </row>
    <row r="188">
      <c r="G188" s="14"/>
      <c r="H188" s="14"/>
    </row>
    <row r="189">
      <c r="G189" s="14"/>
      <c r="H189" s="14"/>
    </row>
    <row r="190">
      <c r="G190" s="14"/>
      <c r="H190" s="14"/>
    </row>
    <row r="191">
      <c r="G191" s="14"/>
      <c r="H191" s="14"/>
    </row>
    <row r="192">
      <c r="G192" s="14"/>
      <c r="H192" s="14"/>
    </row>
    <row r="193">
      <c r="G193" s="14"/>
      <c r="H193" s="14"/>
    </row>
    <row r="194">
      <c r="G194" s="14"/>
      <c r="H194" s="14"/>
    </row>
    <row r="195">
      <c r="G195" s="14"/>
      <c r="H195" s="14"/>
    </row>
    <row r="196">
      <c r="G196" s="14"/>
      <c r="H196" s="14"/>
    </row>
    <row r="197">
      <c r="G197" s="14"/>
      <c r="H197" s="14"/>
    </row>
    <row r="198">
      <c r="G198" s="14"/>
      <c r="H198" s="14"/>
    </row>
    <row r="199">
      <c r="G199" s="14"/>
      <c r="H199" s="14"/>
    </row>
    <row r="200">
      <c r="G200" s="14"/>
      <c r="H200" s="14"/>
    </row>
    <row r="201">
      <c r="G201" s="14"/>
      <c r="H201" s="14"/>
    </row>
    <row r="202">
      <c r="G202" s="14"/>
      <c r="H202" s="14"/>
    </row>
    <row r="203">
      <c r="G203" s="14"/>
      <c r="H203" s="14"/>
    </row>
    <row r="204">
      <c r="G204" s="14"/>
      <c r="H204" s="14"/>
    </row>
    <row r="205">
      <c r="G205" s="14"/>
      <c r="H205" s="14"/>
    </row>
    <row r="206">
      <c r="G206" s="14"/>
      <c r="H206" s="14"/>
    </row>
    <row r="207">
      <c r="G207" s="14"/>
      <c r="H207" s="14"/>
    </row>
    <row r="208">
      <c r="G208" s="14"/>
      <c r="H208" s="14"/>
    </row>
    <row r="209">
      <c r="G209" s="14"/>
      <c r="H209" s="14"/>
    </row>
    <row r="210">
      <c r="G210" s="14"/>
      <c r="H210" s="14"/>
    </row>
    <row r="211">
      <c r="G211" s="14"/>
      <c r="H211" s="14"/>
    </row>
    <row r="212">
      <c r="G212" s="14"/>
      <c r="H212" s="14"/>
    </row>
    <row r="213">
      <c r="G213" s="14"/>
      <c r="H213" s="14"/>
    </row>
    <row r="214">
      <c r="G214" s="14"/>
      <c r="H214" s="14"/>
    </row>
    <row r="215">
      <c r="G215" s="14"/>
      <c r="H215" s="14"/>
    </row>
    <row r="216">
      <c r="G216" s="14"/>
      <c r="H216" s="14"/>
    </row>
    <row r="217">
      <c r="G217" s="14"/>
      <c r="H217" s="14"/>
    </row>
    <row r="218">
      <c r="G218" s="14"/>
      <c r="H218" s="14"/>
    </row>
    <row r="219">
      <c r="G219" s="14"/>
      <c r="H219" s="14"/>
    </row>
    <row r="220">
      <c r="G220" s="14"/>
      <c r="H220" s="14"/>
    </row>
    <row r="221">
      <c r="G221" s="14"/>
      <c r="H221" s="14"/>
    </row>
    <row r="222">
      <c r="G222" s="14"/>
      <c r="H222" s="14"/>
    </row>
    <row r="223">
      <c r="G223" s="14"/>
      <c r="H223" s="14"/>
    </row>
    <row r="224">
      <c r="G224" s="14"/>
      <c r="H224" s="14"/>
    </row>
    <row r="225">
      <c r="G225" s="14"/>
      <c r="H225" s="14"/>
    </row>
    <row r="226">
      <c r="G226" s="14"/>
      <c r="H226" s="14"/>
    </row>
    <row r="227">
      <c r="G227" s="14"/>
      <c r="H227" s="14"/>
    </row>
    <row r="228">
      <c r="G228" s="14"/>
      <c r="H228" s="14"/>
    </row>
    <row r="229">
      <c r="G229" s="14"/>
      <c r="H229" s="14"/>
    </row>
    <row r="230">
      <c r="G230" s="14"/>
      <c r="H230" s="14"/>
    </row>
    <row r="231">
      <c r="G231" s="14"/>
      <c r="H231" s="14"/>
    </row>
    <row r="232">
      <c r="G232" s="14"/>
      <c r="H232" s="14"/>
    </row>
    <row r="233">
      <c r="G233" s="14"/>
      <c r="H233" s="14"/>
    </row>
    <row r="234">
      <c r="G234" s="14"/>
      <c r="H234" s="14"/>
    </row>
    <row r="235">
      <c r="G235" s="14"/>
      <c r="H235" s="14"/>
    </row>
    <row r="236">
      <c r="G236" s="14"/>
      <c r="H236" s="14"/>
    </row>
    <row r="237">
      <c r="G237" s="14"/>
      <c r="H237" s="14"/>
    </row>
    <row r="238">
      <c r="G238" s="14"/>
      <c r="H238" s="14"/>
    </row>
    <row r="239">
      <c r="G239" s="14"/>
      <c r="H239" s="14"/>
    </row>
    <row r="240">
      <c r="G240" s="14"/>
      <c r="H240" s="14"/>
    </row>
    <row r="241">
      <c r="G241" s="14"/>
      <c r="H241" s="14"/>
    </row>
    <row r="242">
      <c r="G242" s="14"/>
      <c r="H242" s="14"/>
    </row>
    <row r="243">
      <c r="G243" s="14"/>
      <c r="H243" s="14"/>
    </row>
    <row r="244">
      <c r="G244" s="14"/>
      <c r="H244" s="14"/>
    </row>
    <row r="245">
      <c r="G245" s="14"/>
      <c r="H245" s="14"/>
    </row>
    <row r="246">
      <c r="G246" s="14"/>
      <c r="H246" s="14"/>
    </row>
    <row r="247">
      <c r="G247" s="14"/>
      <c r="H247" s="14"/>
    </row>
    <row r="248">
      <c r="G248" s="14"/>
      <c r="H248" s="14"/>
    </row>
    <row r="249">
      <c r="G249" s="14"/>
      <c r="H249" s="14"/>
    </row>
    <row r="250">
      <c r="G250" s="14"/>
      <c r="H250" s="14"/>
    </row>
    <row r="251">
      <c r="G251" s="14"/>
      <c r="H251" s="14"/>
    </row>
    <row r="252">
      <c r="G252" s="14"/>
      <c r="H252" s="14"/>
    </row>
    <row r="253">
      <c r="G253" s="14"/>
      <c r="H253" s="14"/>
    </row>
    <row r="254">
      <c r="G254" s="14"/>
      <c r="H254" s="14"/>
    </row>
    <row r="255">
      <c r="G255" s="14"/>
      <c r="H255" s="14"/>
    </row>
    <row r="256">
      <c r="G256" s="14"/>
      <c r="H256" s="14"/>
    </row>
    <row r="257">
      <c r="G257" s="14"/>
      <c r="H257" s="14"/>
    </row>
    <row r="258">
      <c r="G258" s="14"/>
      <c r="H258" s="14"/>
    </row>
    <row r="259">
      <c r="G259" s="14"/>
      <c r="H259" s="14"/>
    </row>
    <row r="260">
      <c r="G260" s="14"/>
      <c r="H260" s="14"/>
    </row>
    <row r="261">
      <c r="G261" s="14"/>
      <c r="H261" s="14"/>
    </row>
    <row r="262">
      <c r="G262" s="14"/>
      <c r="H262" s="14"/>
    </row>
    <row r="263">
      <c r="G263" s="14"/>
      <c r="H263" s="14"/>
    </row>
    <row r="264">
      <c r="G264" s="14"/>
      <c r="H264" s="14"/>
    </row>
    <row r="265">
      <c r="G265" s="14"/>
      <c r="H265" s="14"/>
    </row>
    <row r="266">
      <c r="G266" s="14"/>
      <c r="H266" s="14"/>
    </row>
    <row r="267">
      <c r="G267" s="14"/>
      <c r="H267" s="14"/>
    </row>
    <row r="268">
      <c r="G268" s="14"/>
      <c r="H268" s="14"/>
    </row>
    <row r="269">
      <c r="G269" s="14"/>
      <c r="H269" s="14"/>
    </row>
    <row r="270">
      <c r="G270" s="14"/>
      <c r="H270" s="14"/>
    </row>
    <row r="271">
      <c r="G271" s="14"/>
      <c r="H271" s="14"/>
    </row>
    <row r="272">
      <c r="G272" s="14"/>
      <c r="H272" s="14"/>
    </row>
    <row r="273">
      <c r="G273" s="14"/>
      <c r="H273" s="14"/>
    </row>
    <row r="274">
      <c r="G274" s="14"/>
      <c r="H274" s="14"/>
    </row>
    <row r="275">
      <c r="G275" s="14"/>
      <c r="H275" s="14"/>
    </row>
    <row r="276">
      <c r="G276" s="14"/>
      <c r="H276" s="14"/>
    </row>
    <row r="277">
      <c r="G277" s="14"/>
      <c r="H277" s="14"/>
    </row>
    <row r="278">
      <c r="G278" s="14"/>
      <c r="H278" s="14"/>
    </row>
    <row r="279">
      <c r="G279" s="14"/>
      <c r="H279" s="14"/>
    </row>
    <row r="280">
      <c r="G280" s="14"/>
      <c r="H280" s="14"/>
    </row>
    <row r="281">
      <c r="G281" s="14"/>
      <c r="H281" s="14"/>
    </row>
    <row r="282">
      <c r="G282" s="14"/>
      <c r="H282" s="14"/>
    </row>
    <row r="283">
      <c r="G283" s="14"/>
      <c r="H283" s="14"/>
    </row>
    <row r="284">
      <c r="G284" s="14"/>
      <c r="H284" s="14"/>
    </row>
    <row r="285">
      <c r="G285" s="14"/>
      <c r="H285" s="14"/>
    </row>
    <row r="286">
      <c r="G286" s="14"/>
      <c r="H286" s="14"/>
    </row>
    <row r="287">
      <c r="G287" s="14"/>
      <c r="H287" s="14"/>
    </row>
    <row r="288">
      <c r="G288" s="14"/>
      <c r="H288" s="14"/>
    </row>
    <row r="289">
      <c r="G289" s="14"/>
      <c r="H289" s="14"/>
    </row>
    <row r="290">
      <c r="G290" s="14"/>
      <c r="H290" s="14"/>
    </row>
    <row r="291">
      <c r="G291" s="14"/>
      <c r="H291" s="14"/>
    </row>
    <row r="292">
      <c r="G292" s="14"/>
      <c r="H292" s="14"/>
    </row>
    <row r="293">
      <c r="G293" s="14"/>
      <c r="H293" s="14"/>
    </row>
    <row r="294">
      <c r="G294" s="14"/>
      <c r="H294" s="14"/>
    </row>
    <row r="295">
      <c r="G295" s="14"/>
      <c r="H295" s="14"/>
    </row>
    <row r="296">
      <c r="G296" s="14"/>
      <c r="H296" s="14"/>
    </row>
    <row r="297">
      <c r="G297" s="14"/>
      <c r="H297" s="14"/>
    </row>
    <row r="298">
      <c r="G298" s="14"/>
      <c r="H298" s="14"/>
    </row>
    <row r="299">
      <c r="G299" s="14"/>
      <c r="H299" s="14"/>
    </row>
    <row r="300">
      <c r="G300" s="14"/>
      <c r="H300" s="14"/>
    </row>
    <row r="301">
      <c r="G301" s="14"/>
      <c r="H301" s="14"/>
    </row>
    <row r="302">
      <c r="G302" s="14"/>
      <c r="H302" s="14"/>
    </row>
    <row r="303">
      <c r="G303" s="14"/>
      <c r="H303" s="14"/>
    </row>
    <row r="304">
      <c r="G304" s="14"/>
      <c r="H304" s="14"/>
    </row>
    <row r="305">
      <c r="G305" s="14"/>
      <c r="H305" s="14"/>
    </row>
    <row r="306">
      <c r="G306" s="14"/>
      <c r="H306" s="14"/>
    </row>
    <row r="307">
      <c r="G307" s="14"/>
      <c r="H307" s="14"/>
    </row>
    <row r="308">
      <c r="G308" s="14"/>
      <c r="H308" s="14"/>
    </row>
    <row r="309">
      <c r="G309" s="14"/>
      <c r="H309" s="14"/>
    </row>
    <row r="310">
      <c r="G310" s="14"/>
      <c r="H310" s="14"/>
    </row>
    <row r="311">
      <c r="G311" s="14"/>
      <c r="H311" s="14"/>
    </row>
    <row r="312">
      <c r="G312" s="14"/>
      <c r="H312" s="14"/>
    </row>
    <row r="313">
      <c r="G313" s="14"/>
      <c r="H313" s="14"/>
    </row>
    <row r="314">
      <c r="G314" s="14"/>
      <c r="H314" s="14"/>
    </row>
    <row r="315">
      <c r="G315" s="14"/>
      <c r="H315" s="14"/>
    </row>
    <row r="316">
      <c r="G316" s="14"/>
      <c r="H316" s="14"/>
    </row>
    <row r="317">
      <c r="G317" s="14"/>
      <c r="H317" s="14"/>
    </row>
    <row r="318">
      <c r="G318" s="14"/>
      <c r="H318" s="14"/>
    </row>
    <row r="319">
      <c r="G319" s="14"/>
      <c r="H319" s="14"/>
    </row>
    <row r="320">
      <c r="G320" s="14"/>
      <c r="H320" s="14"/>
    </row>
    <row r="321">
      <c r="G321" s="14"/>
      <c r="H321" s="14"/>
    </row>
    <row r="322">
      <c r="G322" s="14"/>
      <c r="H322" s="14"/>
    </row>
    <row r="323">
      <c r="G323" s="14"/>
      <c r="H323" s="14"/>
    </row>
    <row r="324">
      <c r="G324" s="14"/>
      <c r="H324" s="14"/>
    </row>
    <row r="325">
      <c r="G325" s="14"/>
      <c r="H325" s="14"/>
    </row>
    <row r="326">
      <c r="G326" s="14"/>
      <c r="H326" s="14"/>
    </row>
    <row r="327">
      <c r="G327" s="14"/>
      <c r="H327" s="14"/>
    </row>
    <row r="328">
      <c r="G328" s="14"/>
      <c r="H328" s="14"/>
    </row>
    <row r="329">
      <c r="G329" s="14"/>
      <c r="H329" s="14"/>
    </row>
    <row r="330">
      <c r="G330" s="14"/>
      <c r="H330" s="14"/>
    </row>
    <row r="331">
      <c r="G331" s="14"/>
      <c r="H331" s="14"/>
    </row>
    <row r="332">
      <c r="G332" s="14"/>
      <c r="H332" s="14"/>
    </row>
    <row r="333">
      <c r="G333" s="14"/>
      <c r="H333" s="14"/>
    </row>
    <row r="334">
      <c r="G334" s="14"/>
      <c r="H334" s="14"/>
    </row>
    <row r="335">
      <c r="G335" s="14"/>
      <c r="H335" s="14"/>
    </row>
    <row r="336">
      <c r="G336" s="14"/>
      <c r="H336" s="14"/>
    </row>
    <row r="337">
      <c r="G337" s="14"/>
      <c r="H337" s="14"/>
    </row>
    <row r="338">
      <c r="G338" s="14"/>
      <c r="H338" s="14"/>
    </row>
    <row r="339">
      <c r="G339" s="14"/>
      <c r="H339" s="14"/>
    </row>
    <row r="340">
      <c r="G340" s="14"/>
      <c r="H340" s="14"/>
    </row>
    <row r="341">
      <c r="G341" s="14"/>
      <c r="H341" s="14"/>
    </row>
    <row r="342">
      <c r="G342" s="14"/>
      <c r="H342" s="14"/>
    </row>
    <row r="343">
      <c r="G343" s="14"/>
      <c r="H343" s="14"/>
    </row>
    <row r="344">
      <c r="G344" s="14"/>
      <c r="H344" s="14"/>
    </row>
    <row r="345">
      <c r="G345" s="14"/>
      <c r="H345" s="14"/>
    </row>
    <row r="346">
      <c r="G346" s="14"/>
      <c r="H346" s="14"/>
    </row>
    <row r="347">
      <c r="G347" s="14"/>
      <c r="H347" s="14"/>
    </row>
    <row r="348">
      <c r="G348" s="14"/>
      <c r="H348" s="14"/>
    </row>
    <row r="349">
      <c r="G349" s="14"/>
      <c r="H349" s="14"/>
    </row>
    <row r="350">
      <c r="G350" s="14"/>
      <c r="H350" s="14"/>
    </row>
    <row r="351">
      <c r="G351" s="14"/>
      <c r="H351" s="14"/>
    </row>
    <row r="352">
      <c r="G352" s="14"/>
      <c r="H352" s="14"/>
    </row>
    <row r="353">
      <c r="G353" s="14"/>
      <c r="H353" s="14"/>
    </row>
    <row r="354">
      <c r="G354" s="14"/>
      <c r="H354" s="14"/>
    </row>
    <row r="355">
      <c r="G355" s="14"/>
      <c r="H355" s="14"/>
    </row>
    <row r="356">
      <c r="G356" s="14"/>
      <c r="H356" s="14"/>
    </row>
    <row r="357">
      <c r="G357" s="14"/>
      <c r="H357" s="14"/>
    </row>
    <row r="358">
      <c r="G358" s="14"/>
      <c r="H358" s="14"/>
    </row>
    <row r="359">
      <c r="G359" s="14"/>
      <c r="H359" s="14"/>
    </row>
    <row r="360">
      <c r="G360" s="14"/>
      <c r="H360" s="14"/>
    </row>
    <row r="361">
      <c r="G361" s="14"/>
      <c r="H361" s="14"/>
    </row>
    <row r="362">
      <c r="G362" s="14"/>
      <c r="H362" s="14"/>
    </row>
    <row r="363">
      <c r="G363" s="14"/>
      <c r="H363" s="14"/>
    </row>
    <row r="364">
      <c r="G364" s="14"/>
      <c r="H364" s="14"/>
    </row>
    <row r="365">
      <c r="G365" s="14"/>
      <c r="H365" s="14"/>
    </row>
    <row r="366">
      <c r="G366" s="14"/>
      <c r="H366" s="14"/>
    </row>
    <row r="367">
      <c r="G367" s="14"/>
      <c r="H367" s="14"/>
    </row>
    <row r="368">
      <c r="G368" s="14"/>
      <c r="H368" s="14"/>
    </row>
    <row r="369">
      <c r="G369" s="14"/>
      <c r="H369" s="14"/>
    </row>
    <row r="370">
      <c r="G370" s="14"/>
      <c r="H370" s="14"/>
    </row>
    <row r="371">
      <c r="G371" s="14"/>
      <c r="H371" s="14"/>
    </row>
    <row r="372">
      <c r="G372" s="14"/>
      <c r="H372" s="14"/>
    </row>
    <row r="373">
      <c r="G373" s="14"/>
      <c r="H373" s="14"/>
    </row>
    <row r="374">
      <c r="G374" s="14"/>
      <c r="H374" s="14"/>
    </row>
    <row r="375">
      <c r="G375" s="14"/>
      <c r="H375" s="14"/>
    </row>
    <row r="376">
      <c r="G376" s="14"/>
      <c r="H376" s="14"/>
    </row>
    <row r="377">
      <c r="G377" s="14"/>
      <c r="H377" s="14"/>
    </row>
    <row r="378">
      <c r="G378" s="14"/>
      <c r="H378" s="14"/>
    </row>
    <row r="379">
      <c r="G379" s="14"/>
      <c r="H379" s="14"/>
    </row>
    <row r="380">
      <c r="G380" s="14"/>
      <c r="H380" s="14"/>
    </row>
    <row r="381">
      <c r="G381" s="14"/>
      <c r="H381" s="14"/>
    </row>
    <row r="382">
      <c r="G382" s="14"/>
      <c r="H382" s="14"/>
    </row>
    <row r="383">
      <c r="G383" s="14"/>
      <c r="H383" s="14"/>
    </row>
    <row r="384">
      <c r="G384" s="14"/>
      <c r="H384" s="14"/>
    </row>
    <row r="385">
      <c r="G385" s="14"/>
      <c r="H385" s="14"/>
    </row>
    <row r="386">
      <c r="G386" s="14"/>
      <c r="H386" s="14"/>
    </row>
    <row r="387">
      <c r="G387" s="14"/>
      <c r="H387" s="14"/>
    </row>
    <row r="388">
      <c r="G388" s="14"/>
      <c r="H388" s="14"/>
    </row>
    <row r="389">
      <c r="G389" s="14"/>
      <c r="H389" s="14"/>
    </row>
    <row r="390">
      <c r="G390" s="14"/>
      <c r="H390" s="14"/>
    </row>
    <row r="391">
      <c r="G391" s="14"/>
      <c r="H391" s="14"/>
    </row>
    <row r="392">
      <c r="G392" s="14"/>
      <c r="H392" s="14"/>
    </row>
    <row r="393">
      <c r="G393" s="14"/>
      <c r="H393" s="14"/>
    </row>
    <row r="394">
      <c r="G394" s="14"/>
      <c r="H394" s="14"/>
    </row>
    <row r="395">
      <c r="G395" s="14"/>
      <c r="H395" s="14"/>
    </row>
    <row r="396">
      <c r="G396" s="14"/>
      <c r="H396" s="14"/>
    </row>
    <row r="397">
      <c r="G397" s="14"/>
      <c r="H397" s="14"/>
    </row>
    <row r="398">
      <c r="G398" s="14"/>
      <c r="H398" s="14"/>
    </row>
    <row r="399">
      <c r="G399" s="14"/>
      <c r="H399" s="14"/>
    </row>
    <row r="400">
      <c r="G400" s="14"/>
      <c r="H400" s="14"/>
    </row>
    <row r="401">
      <c r="G401" s="14"/>
      <c r="H401" s="14"/>
    </row>
    <row r="402">
      <c r="G402" s="14"/>
      <c r="H402" s="14"/>
    </row>
    <row r="403">
      <c r="G403" s="14"/>
      <c r="H403" s="14"/>
    </row>
    <row r="404">
      <c r="G404" s="14"/>
      <c r="H404" s="14"/>
    </row>
    <row r="405">
      <c r="G405" s="14"/>
      <c r="H405" s="14"/>
    </row>
    <row r="406">
      <c r="G406" s="14"/>
      <c r="H406" s="14"/>
    </row>
    <row r="407">
      <c r="G407" s="14"/>
      <c r="H407" s="14"/>
    </row>
    <row r="408">
      <c r="G408" s="14"/>
      <c r="H408" s="14"/>
    </row>
    <row r="409">
      <c r="G409" s="14"/>
      <c r="H409" s="14"/>
    </row>
    <row r="410">
      <c r="G410" s="14"/>
      <c r="H410" s="14"/>
    </row>
    <row r="411">
      <c r="G411" s="14"/>
      <c r="H411" s="14"/>
    </row>
    <row r="412">
      <c r="G412" s="14"/>
      <c r="H412" s="14"/>
    </row>
    <row r="413">
      <c r="G413" s="14"/>
      <c r="H413" s="14"/>
    </row>
    <row r="414">
      <c r="G414" s="14"/>
      <c r="H414" s="14"/>
    </row>
    <row r="415">
      <c r="G415" s="14"/>
      <c r="H415" s="14"/>
    </row>
    <row r="416">
      <c r="G416" s="14"/>
      <c r="H416" s="14"/>
    </row>
    <row r="417">
      <c r="G417" s="14"/>
      <c r="H417" s="14"/>
    </row>
    <row r="418">
      <c r="G418" s="14"/>
      <c r="H418" s="14"/>
    </row>
    <row r="419">
      <c r="G419" s="14"/>
      <c r="H419" s="14"/>
    </row>
    <row r="420">
      <c r="G420" s="14"/>
      <c r="H420" s="14"/>
    </row>
    <row r="421">
      <c r="G421" s="14"/>
      <c r="H421" s="14"/>
    </row>
    <row r="422">
      <c r="G422" s="14"/>
      <c r="H422" s="14"/>
    </row>
    <row r="423">
      <c r="G423" s="14"/>
      <c r="H423" s="14"/>
    </row>
    <row r="424">
      <c r="G424" s="14"/>
      <c r="H424" s="14"/>
    </row>
    <row r="425">
      <c r="G425" s="14"/>
      <c r="H425" s="14"/>
    </row>
    <row r="426">
      <c r="G426" s="14"/>
      <c r="H426" s="14"/>
    </row>
    <row r="427">
      <c r="G427" s="14"/>
      <c r="H427" s="14"/>
    </row>
    <row r="428">
      <c r="G428" s="14"/>
      <c r="H428" s="14"/>
    </row>
    <row r="429">
      <c r="G429" s="14"/>
      <c r="H429" s="14"/>
    </row>
    <row r="430">
      <c r="G430" s="14"/>
      <c r="H430" s="14"/>
    </row>
    <row r="431">
      <c r="G431" s="14"/>
      <c r="H431" s="14"/>
    </row>
    <row r="432">
      <c r="G432" s="14"/>
      <c r="H432" s="14"/>
    </row>
    <row r="433">
      <c r="G433" s="14"/>
      <c r="H433" s="14"/>
    </row>
    <row r="434">
      <c r="G434" s="14"/>
      <c r="H434" s="14"/>
    </row>
    <row r="435">
      <c r="G435" s="14"/>
      <c r="H435" s="14"/>
    </row>
    <row r="436">
      <c r="G436" s="14"/>
      <c r="H436" s="14"/>
    </row>
    <row r="437">
      <c r="G437" s="14"/>
      <c r="H437" s="14"/>
    </row>
    <row r="438">
      <c r="G438" s="14"/>
      <c r="H438" s="14"/>
    </row>
    <row r="439">
      <c r="G439" s="14"/>
      <c r="H439" s="14"/>
    </row>
    <row r="440">
      <c r="G440" s="14"/>
      <c r="H440" s="14"/>
    </row>
    <row r="441">
      <c r="G441" s="14"/>
      <c r="H441" s="14"/>
    </row>
    <row r="442">
      <c r="G442" s="14"/>
      <c r="H442" s="14"/>
    </row>
    <row r="443">
      <c r="G443" s="14"/>
      <c r="H443" s="14"/>
    </row>
    <row r="444">
      <c r="G444" s="14"/>
      <c r="H444" s="14"/>
    </row>
    <row r="445">
      <c r="G445" s="14"/>
      <c r="H445" s="14"/>
    </row>
    <row r="446">
      <c r="G446" s="14"/>
      <c r="H446" s="14"/>
    </row>
    <row r="447">
      <c r="G447" s="14"/>
      <c r="H447" s="14"/>
    </row>
    <row r="448">
      <c r="G448" s="14"/>
      <c r="H448" s="14"/>
    </row>
    <row r="449">
      <c r="G449" s="14"/>
      <c r="H449" s="14"/>
    </row>
    <row r="450">
      <c r="G450" s="14"/>
      <c r="H450" s="14"/>
    </row>
    <row r="451">
      <c r="G451" s="14"/>
      <c r="H451" s="14"/>
    </row>
    <row r="452">
      <c r="G452" s="14"/>
      <c r="H452" s="14"/>
    </row>
    <row r="453">
      <c r="G453" s="14"/>
      <c r="H453" s="14"/>
    </row>
    <row r="454">
      <c r="G454" s="14"/>
      <c r="H454" s="14"/>
    </row>
    <row r="455">
      <c r="G455" s="14"/>
      <c r="H455" s="14"/>
    </row>
    <row r="456">
      <c r="G456" s="14"/>
      <c r="H456" s="14"/>
    </row>
    <row r="457">
      <c r="G457" s="14"/>
      <c r="H457" s="14"/>
    </row>
    <row r="458">
      <c r="G458" s="14"/>
      <c r="H458" s="14"/>
    </row>
    <row r="459">
      <c r="G459" s="14"/>
      <c r="H459" s="14"/>
    </row>
    <row r="460">
      <c r="G460" s="14"/>
      <c r="H460" s="14"/>
    </row>
    <row r="461">
      <c r="G461" s="14"/>
      <c r="H461" s="14"/>
    </row>
    <row r="462">
      <c r="G462" s="14"/>
      <c r="H462" s="14"/>
    </row>
    <row r="463">
      <c r="G463" s="14"/>
      <c r="H463" s="14"/>
    </row>
    <row r="464">
      <c r="G464" s="14"/>
      <c r="H464" s="14"/>
    </row>
    <row r="465">
      <c r="G465" s="14"/>
      <c r="H465" s="14"/>
    </row>
    <row r="466">
      <c r="G466" s="14"/>
      <c r="H466" s="14"/>
    </row>
    <row r="467">
      <c r="G467" s="14"/>
      <c r="H467" s="14"/>
    </row>
    <row r="468">
      <c r="G468" s="14"/>
      <c r="H468" s="14"/>
    </row>
    <row r="469">
      <c r="G469" s="14"/>
      <c r="H469" s="14"/>
    </row>
    <row r="470">
      <c r="G470" s="14"/>
      <c r="H470" s="14"/>
    </row>
    <row r="471">
      <c r="G471" s="14"/>
      <c r="H471" s="14"/>
    </row>
    <row r="472">
      <c r="G472" s="14"/>
      <c r="H472" s="14"/>
    </row>
    <row r="473">
      <c r="G473" s="14"/>
      <c r="H473" s="14"/>
    </row>
    <row r="474">
      <c r="G474" s="14"/>
      <c r="H474" s="14"/>
    </row>
    <row r="475">
      <c r="G475" s="14"/>
      <c r="H475" s="14"/>
    </row>
    <row r="476">
      <c r="G476" s="14"/>
      <c r="H476" s="14"/>
    </row>
    <row r="477">
      <c r="G477" s="14"/>
      <c r="H477" s="14"/>
    </row>
    <row r="478">
      <c r="G478" s="14"/>
      <c r="H478" s="14"/>
    </row>
    <row r="479">
      <c r="G479" s="14"/>
      <c r="H479" s="14"/>
    </row>
    <row r="480">
      <c r="G480" s="14"/>
      <c r="H480" s="14"/>
    </row>
    <row r="481">
      <c r="G481" s="14"/>
      <c r="H481" s="14"/>
    </row>
    <row r="482">
      <c r="G482" s="14"/>
      <c r="H482" s="14"/>
    </row>
    <row r="483">
      <c r="G483" s="14"/>
      <c r="H483" s="14"/>
    </row>
    <row r="484">
      <c r="G484" s="14"/>
      <c r="H484" s="14"/>
    </row>
    <row r="485">
      <c r="G485" s="14"/>
      <c r="H485" s="14"/>
    </row>
    <row r="486">
      <c r="G486" s="14"/>
      <c r="H486" s="14"/>
    </row>
    <row r="487">
      <c r="G487" s="14"/>
      <c r="H487" s="14"/>
    </row>
    <row r="488">
      <c r="G488" s="14"/>
      <c r="H488" s="14"/>
    </row>
    <row r="489">
      <c r="G489" s="14"/>
      <c r="H489" s="14"/>
    </row>
    <row r="490">
      <c r="G490" s="14"/>
      <c r="H490" s="14"/>
    </row>
    <row r="491">
      <c r="G491" s="14"/>
      <c r="H491" s="14"/>
    </row>
    <row r="492">
      <c r="G492" s="14"/>
      <c r="H492" s="14"/>
    </row>
    <row r="493">
      <c r="G493" s="14"/>
      <c r="H493" s="14"/>
    </row>
    <row r="494">
      <c r="G494" s="14"/>
      <c r="H494" s="14"/>
    </row>
    <row r="495">
      <c r="G495" s="14"/>
      <c r="H495" s="14"/>
    </row>
    <row r="496">
      <c r="G496" s="14"/>
      <c r="H496" s="14"/>
    </row>
    <row r="497">
      <c r="G497" s="14"/>
      <c r="H497" s="14"/>
    </row>
    <row r="498">
      <c r="G498" s="14"/>
      <c r="H498" s="14"/>
    </row>
    <row r="499">
      <c r="G499" s="14"/>
      <c r="H499" s="14"/>
    </row>
    <row r="500">
      <c r="G500" s="14"/>
      <c r="H500" s="14"/>
    </row>
    <row r="501">
      <c r="G501" s="14"/>
      <c r="H501" s="14"/>
    </row>
    <row r="502">
      <c r="G502" s="14"/>
      <c r="H502" s="14"/>
    </row>
    <row r="503">
      <c r="G503" s="14"/>
      <c r="H503" s="14"/>
    </row>
    <row r="504">
      <c r="G504" s="14"/>
      <c r="H504" s="14"/>
    </row>
    <row r="505">
      <c r="G505" s="14"/>
      <c r="H505" s="14"/>
    </row>
    <row r="506">
      <c r="G506" s="14"/>
      <c r="H506" s="14"/>
    </row>
    <row r="507">
      <c r="G507" s="14"/>
      <c r="H507" s="14"/>
    </row>
    <row r="508">
      <c r="G508" s="14"/>
      <c r="H508" s="14"/>
    </row>
    <row r="509">
      <c r="G509" s="14"/>
      <c r="H509" s="14"/>
    </row>
    <row r="510">
      <c r="G510" s="14"/>
      <c r="H510" s="14"/>
    </row>
    <row r="511">
      <c r="G511" s="14"/>
      <c r="H511" s="14"/>
    </row>
    <row r="512">
      <c r="G512" s="14"/>
      <c r="H512" s="14"/>
    </row>
    <row r="513">
      <c r="G513" s="14"/>
      <c r="H513" s="14"/>
    </row>
    <row r="514">
      <c r="G514" s="14"/>
      <c r="H514" s="14"/>
    </row>
    <row r="515">
      <c r="G515" s="14"/>
      <c r="H515" s="14"/>
    </row>
    <row r="516">
      <c r="G516" s="14"/>
      <c r="H516" s="14"/>
    </row>
    <row r="517">
      <c r="G517" s="14"/>
      <c r="H517" s="14"/>
    </row>
    <row r="518">
      <c r="G518" s="14"/>
      <c r="H518" s="14"/>
    </row>
    <row r="519">
      <c r="G519" s="14"/>
      <c r="H519" s="14"/>
    </row>
    <row r="520">
      <c r="G520" s="14"/>
      <c r="H520" s="14"/>
    </row>
    <row r="521">
      <c r="G521" s="14"/>
      <c r="H521" s="14"/>
    </row>
    <row r="522">
      <c r="G522" s="14"/>
      <c r="H522" s="14"/>
    </row>
    <row r="523">
      <c r="G523" s="14"/>
      <c r="H523" s="14"/>
    </row>
    <row r="524">
      <c r="G524" s="14"/>
      <c r="H524" s="14"/>
    </row>
    <row r="525">
      <c r="G525" s="14"/>
      <c r="H525" s="14"/>
    </row>
    <row r="526">
      <c r="G526" s="14"/>
      <c r="H526" s="14"/>
    </row>
    <row r="527">
      <c r="G527" s="14"/>
      <c r="H527" s="14"/>
    </row>
    <row r="528">
      <c r="G528" s="14"/>
      <c r="H528" s="14"/>
    </row>
    <row r="529">
      <c r="G529" s="14"/>
      <c r="H529" s="14"/>
    </row>
    <row r="530">
      <c r="G530" s="14"/>
      <c r="H530" s="14"/>
    </row>
    <row r="531">
      <c r="G531" s="14"/>
      <c r="H531" s="14"/>
    </row>
    <row r="532">
      <c r="G532" s="14"/>
      <c r="H532" s="14"/>
    </row>
    <row r="533">
      <c r="G533" s="14"/>
      <c r="H533" s="14"/>
    </row>
    <row r="534">
      <c r="G534" s="14"/>
      <c r="H534" s="14"/>
    </row>
    <row r="535">
      <c r="G535" s="14"/>
      <c r="H535" s="14"/>
    </row>
    <row r="536">
      <c r="G536" s="14"/>
      <c r="H536" s="14"/>
    </row>
    <row r="537">
      <c r="G537" s="14"/>
      <c r="H537" s="14"/>
    </row>
    <row r="538">
      <c r="G538" s="14"/>
      <c r="H538" s="14"/>
    </row>
    <row r="539">
      <c r="G539" s="14"/>
      <c r="H539" s="14"/>
    </row>
    <row r="540">
      <c r="G540" s="14"/>
      <c r="H540" s="14"/>
    </row>
    <row r="541">
      <c r="G541" s="14"/>
      <c r="H541" s="14"/>
    </row>
    <row r="542">
      <c r="G542" s="14"/>
      <c r="H542" s="14"/>
    </row>
    <row r="543">
      <c r="G543" s="14"/>
      <c r="H543" s="14"/>
    </row>
    <row r="544">
      <c r="G544" s="14"/>
      <c r="H544" s="14"/>
    </row>
    <row r="545">
      <c r="G545" s="14"/>
      <c r="H545" s="14"/>
    </row>
    <row r="546">
      <c r="G546" s="14"/>
      <c r="H546" s="14"/>
    </row>
    <row r="547">
      <c r="G547" s="14"/>
      <c r="H547" s="14"/>
    </row>
    <row r="548">
      <c r="G548" s="14"/>
      <c r="H548" s="14"/>
    </row>
    <row r="549">
      <c r="G549" s="14"/>
      <c r="H549" s="14"/>
    </row>
    <row r="550">
      <c r="G550" s="14"/>
      <c r="H550" s="14"/>
    </row>
    <row r="551">
      <c r="G551" s="14"/>
      <c r="H551" s="14"/>
    </row>
    <row r="552">
      <c r="G552" s="14"/>
      <c r="H552" s="14"/>
    </row>
    <row r="553">
      <c r="G553" s="14"/>
      <c r="H553" s="14"/>
    </row>
    <row r="554">
      <c r="G554" s="14"/>
      <c r="H554" s="14"/>
    </row>
    <row r="555">
      <c r="G555" s="14"/>
      <c r="H555" s="14"/>
    </row>
    <row r="556">
      <c r="G556" s="14"/>
      <c r="H556" s="14"/>
    </row>
    <row r="557">
      <c r="G557" s="14"/>
      <c r="H557" s="14"/>
    </row>
    <row r="558">
      <c r="G558" s="14"/>
      <c r="H558" s="14"/>
    </row>
    <row r="559">
      <c r="G559" s="14"/>
      <c r="H559" s="14"/>
    </row>
    <row r="560">
      <c r="G560" s="14"/>
      <c r="H560" s="14"/>
    </row>
    <row r="561">
      <c r="G561" s="14"/>
      <c r="H561" s="14"/>
    </row>
    <row r="562">
      <c r="G562" s="14"/>
      <c r="H562" s="14"/>
    </row>
    <row r="563">
      <c r="G563" s="14"/>
      <c r="H563" s="14"/>
    </row>
    <row r="564">
      <c r="G564" s="14"/>
      <c r="H564" s="14"/>
    </row>
    <row r="565">
      <c r="G565" s="14"/>
      <c r="H565" s="14"/>
    </row>
    <row r="566">
      <c r="G566" s="14"/>
      <c r="H566" s="14"/>
    </row>
    <row r="567">
      <c r="G567" s="14"/>
      <c r="H567" s="14"/>
    </row>
    <row r="568">
      <c r="G568" s="14"/>
      <c r="H568" s="14"/>
    </row>
    <row r="569">
      <c r="G569" s="14"/>
      <c r="H569" s="14"/>
    </row>
    <row r="570">
      <c r="G570" s="14"/>
      <c r="H570" s="14"/>
    </row>
    <row r="571">
      <c r="G571" s="14"/>
      <c r="H571" s="14"/>
    </row>
    <row r="572">
      <c r="G572" s="14"/>
      <c r="H572" s="14"/>
    </row>
    <row r="573">
      <c r="G573" s="14"/>
      <c r="H573" s="14"/>
    </row>
    <row r="574">
      <c r="G574" s="14"/>
      <c r="H574" s="14"/>
    </row>
    <row r="575">
      <c r="G575" s="14"/>
      <c r="H575" s="14"/>
    </row>
    <row r="576">
      <c r="G576" s="14"/>
      <c r="H576" s="14"/>
    </row>
    <row r="577">
      <c r="G577" s="14"/>
      <c r="H577" s="14"/>
    </row>
    <row r="578">
      <c r="G578" s="14"/>
      <c r="H578" s="14"/>
    </row>
    <row r="579">
      <c r="G579" s="14"/>
      <c r="H579" s="14"/>
    </row>
    <row r="580">
      <c r="G580" s="14"/>
      <c r="H580" s="14"/>
    </row>
    <row r="581">
      <c r="G581" s="14"/>
      <c r="H581" s="14"/>
    </row>
    <row r="582">
      <c r="G582" s="14"/>
      <c r="H582" s="14"/>
    </row>
    <row r="583">
      <c r="G583" s="14"/>
      <c r="H583" s="14"/>
    </row>
    <row r="584">
      <c r="G584" s="14"/>
      <c r="H584" s="14"/>
    </row>
    <row r="585">
      <c r="G585" s="14"/>
      <c r="H585" s="14"/>
    </row>
    <row r="586">
      <c r="G586" s="14"/>
      <c r="H586" s="14"/>
    </row>
    <row r="587">
      <c r="G587" s="14"/>
      <c r="H587" s="14"/>
    </row>
    <row r="588">
      <c r="G588" s="14"/>
      <c r="H588" s="14"/>
    </row>
    <row r="589">
      <c r="G589" s="14"/>
      <c r="H589" s="14"/>
    </row>
    <row r="590">
      <c r="G590" s="14"/>
      <c r="H590" s="14"/>
    </row>
    <row r="591">
      <c r="G591" s="14"/>
      <c r="H591" s="14"/>
    </row>
    <row r="592">
      <c r="G592" s="14"/>
      <c r="H592" s="14"/>
    </row>
    <row r="593">
      <c r="G593" s="14"/>
      <c r="H593" s="14"/>
    </row>
    <row r="594">
      <c r="G594" s="14"/>
      <c r="H594" s="14"/>
    </row>
    <row r="595">
      <c r="G595" s="14"/>
      <c r="H595" s="14"/>
    </row>
    <row r="596">
      <c r="G596" s="14"/>
      <c r="H596" s="14"/>
    </row>
    <row r="597">
      <c r="G597" s="14"/>
      <c r="H597" s="14"/>
    </row>
    <row r="598">
      <c r="G598" s="14"/>
      <c r="H598" s="14"/>
    </row>
    <row r="599">
      <c r="G599" s="14"/>
      <c r="H599" s="14"/>
    </row>
    <row r="600">
      <c r="G600" s="14"/>
      <c r="H600" s="14"/>
    </row>
    <row r="601">
      <c r="G601" s="14"/>
      <c r="H601" s="14"/>
    </row>
    <row r="602">
      <c r="G602" s="14"/>
      <c r="H602" s="14"/>
    </row>
    <row r="603">
      <c r="G603" s="14"/>
      <c r="H603" s="14"/>
    </row>
    <row r="604">
      <c r="G604" s="14"/>
      <c r="H604" s="14"/>
    </row>
    <row r="605">
      <c r="G605" s="14"/>
      <c r="H605" s="14"/>
    </row>
    <row r="606">
      <c r="G606" s="14"/>
      <c r="H606" s="14"/>
    </row>
    <row r="607">
      <c r="G607" s="14"/>
      <c r="H607" s="14"/>
    </row>
    <row r="608">
      <c r="G608" s="14"/>
      <c r="H608" s="14"/>
    </row>
    <row r="609">
      <c r="G609" s="14"/>
      <c r="H609" s="14"/>
    </row>
    <row r="610">
      <c r="G610" s="14"/>
      <c r="H610" s="14"/>
    </row>
    <row r="611">
      <c r="G611" s="14"/>
      <c r="H611" s="14"/>
    </row>
    <row r="612">
      <c r="G612" s="14"/>
      <c r="H612" s="14"/>
    </row>
    <row r="613">
      <c r="G613" s="14"/>
      <c r="H613" s="14"/>
    </row>
    <row r="614">
      <c r="G614" s="14"/>
      <c r="H614" s="14"/>
    </row>
    <row r="615">
      <c r="G615" s="14"/>
      <c r="H615" s="14"/>
    </row>
    <row r="616">
      <c r="G616" s="14"/>
      <c r="H616" s="14"/>
    </row>
    <row r="617">
      <c r="G617" s="14"/>
      <c r="H617" s="14"/>
    </row>
    <row r="618">
      <c r="G618" s="14"/>
      <c r="H618" s="14"/>
    </row>
    <row r="619">
      <c r="G619" s="14"/>
      <c r="H619" s="14"/>
    </row>
    <row r="620">
      <c r="G620" s="14"/>
      <c r="H620" s="14"/>
    </row>
    <row r="621">
      <c r="G621" s="14"/>
      <c r="H621" s="14"/>
    </row>
    <row r="622">
      <c r="G622" s="14"/>
      <c r="H622" s="14"/>
    </row>
    <row r="623">
      <c r="G623" s="14"/>
      <c r="H623" s="14"/>
    </row>
    <row r="624">
      <c r="G624" s="14"/>
      <c r="H624" s="14"/>
    </row>
    <row r="625">
      <c r="G625" s="14"/>
      <c r="H625" s="14"/>
    </row>
    <row r="626">
      <c r="G626" s="14"/>
      <c r="H626" s="14"/>
    </row>
    <row r="627">
      <c r="G627" s="14"/>
      <c r="H627" s="14"/>
    </row>
    <row r="628">
      <c r="G628" s="14"/>
      <c r="H628" s="14"/>
    </row>
    <row r="629">
      <c r="G629" s="14"/>
      <c r="H629" s="14"/>
    </row>
    <row r="630">
      <c r="G630" s="14"/>
      <c r="H630" s="14"/>
    </row>
    <row r="631">
      <c r="G631" s="14"/>
      <c r="H631" s="14"/>
    </row>
    <row r="632">
      <c r="G632" s="14"/>
      <c r="H632" s="14"/>
    </row>
    <row r="633">
      <c r="G633" s="14"/>
      <c r="H633" s="14"/>
    </row>
    <row r="634">
      <c r="G634" s="14"/>
      <c r="H634" s="14"/>
    </row>
    <row r="635">
      <c r="G635" s="14"/>
      <c r="H635" s="14"/>
    </row>
    <row r="636">
      <c r="G636" s="14"/>
      <c r="H636" s="14"/>
    </row>
    <row r="637">
      <c r="G637" s="14"/>
      <c r="H637" s="14"/>
    </row>
    <row r="638">
      <c r="G638" s="14"/>
      <c r="H638" s="14"/>
    </row>
    <row r="639">
      <c r="G639" s="14"/>
      <c r="H639" s="14"/>
    </row>
    <row r="640">
      <c r="G640" s="14"/>
      <c r="H640" s="14"/>
    </row>
    <row r="641">
      <c r="G641" s="14"/>
      <c r="H641" s="14"/>
    </row>
    <row r="642">
      <c r="G642" s="14"/>
      <c r="H642" s="14"/>
    </row>
    <row r="643">
      <c r="G643" s="14"/>
      <c r="H643" s="14"/>
    </row>
    <row r="644">
      <c r="G644" s="14"/>
      <c r="H644" s="14"/>
    </row>
    <row r="645">
      <c r="G645" s="14"/>
      <c r="H645" s="14"/>
    </row>
    <row r="646">
      <c r="G646" s="14"/>
      <c r="H646" s="14"/>
    </row>
    <row r="647">
      <c r="G647" s="14"/>
      <c r="H647" s="14"/>
    </row>
    <row r="648">
      <c r="G648" s="14"/>
      <c r="H648" s="14"/>
    </row>
    <row r="649">
      <c r="G649" s="14"/>
      <c r="H649" s="14"/>
    </row>
    <row r="650">
      <c r="G650" s="14"/>
      <c r="H650" s="14"/>
    </row>
    <row r="651">
      <c r="G651" s="14"/>
      <c r="H651" s="14"/>
    </row>
    <row r="652">
      <c r="G652" s="14"/>
      <c r="H652" s="14"/>
    </row>
    <row r="653">
      <c r="G653" s="14"/>
      <c r="H653" s="14"/>
    </row>
    <row r="654">
      <c r="G654" s="14"/>
      <c r="H654" s="14"/>
    </row>
    <row r="655">
      <c r="G655" s="14"/>
      <c r="H655" s="14"/>
    </row>
    <row r="656">
      <c r="G656" s="14"/>
      <c r="H656" s="14"/>
    </row>
    <row r="657">
      <c r="G657" s="14"/>
      <c r="H657" s="14"/>
    </row>
    <row r="658">
      <c r="G658" s="14"/>
      <c r="H658" s="14"/>
    </row>
    <row r="659">
      <c r="G659" s="14"/>
      <c r="H659" s="14"/>
    </row>
    <row r="660">
      <c r="G660" s="14"/>
      <c r="H660" s="14"/>
    </row>
    <row r="661">
      <c r="G661" s="14"/>
      <c r="H661" s="14"/>
    </row>
    <row r="662">
      <c r="G662" s="14"/>
      <c r="H662" s="14"/>
    </row>
    <row r="663">
      <c r="G663" s="14"/>
      <c r="H663" s="14"/>
    </row>
    <row r="664">
      <c r="G664" s="14"/>
      <c r="H664" s="14"/>
    </row>
    <row r="665">
      <c r="G665" s="14"/>
      <c r="H665" s="14"/>
    </row>
    <row r="666">
      <c r="G666" s="14"/>
      <c r="H666" s="14"/>
    </row>
    <row r="667">
      <c r="G667" s="14"/>
      <c r="H667" s="14"/>
    </row>
    <row r="668">
      <c r="G668" s="14"/>
      <c r="H668" s="14"/>
    </row>
    <row r="669">
      <c r="G669" s="14"/>
      <c r="H669" s="14"/>
    </row>
    <row r="670">
      <c r="G670" s="14"/>
      <c r="H670" s="14"/>
    </row>
    <row r="671">
      <c r="G671" s="14"/>
      <c r="H671" s="14"/>
    </row>
    <row r="672">
      <c r="G672" s="14"/>
      <c r="H672" s="14"/>
    </row>
    <row r="673">
      <c r="G673" s="14"/>
      <c r="H673" s="14"/>
    </row>
    <row r="674">
      <c r="G674" s="14"/>
      <c r="H674" s="14"/>
    </row>
    <row r="675">
      <c r="G675" s="14"/>
      <c r="H675" s="14"/>
    </row>
    <row r="676">
      <c r="G676" s="14"/>
      <c r="H676" s="14"/>
    </row>
    <row r="677">
      <c r="G677" s="14"/>
      <c r="H677" s="14"/>
    </row>
    <row r="678">
      <c r="G678" s="14"/>
      <c r="H678" s="14"/>
    </row>
    <row r="679">
      <c r="G679" s="14"/>
      <c r="H679" s="14"/>
    </row>
    <row r="680">
      <c r="G680" s="14"/>
      <c r="H680" s="14"/>
    </row>
    <row r="681">
      <c r="G681" s="14"/>
      <c r="H681" s="14"/>
    </row>
    <row r="682">
      <c r="G682" s="14"/>
      <c r="H682" s="14"/>
    </row>
    <row r="683">
      <c r="G683" s="14"/>
      <c r="H683" s="14"/>
    </row>
    <row r="684">
      <c r="G684" s="14"/>
      <c r="H684" s="14"/>
    </row>
    <row r="685">
      <c r="G685" s="14"/>
      <c r="H685" s="14"/>
    </row>
    <row r="686">
      <c r="G686" s="14"/>
      <c r="H686" s="14"/>
    </row>
    <row r="687">
      <c r="G687" s="14"/>
      <c r="H687" s="14"/>
    </row>
    <row r="688">
      <c r="G688" s="14"/>
      <c r="H688" s="14"/>
    </row>
    <row r="689">
      <c r="G689" s="14"/>
      <c r="H689" s="14"/>
    </row>
    <row r="690">
      <c r="G690" s="14"/>
      <c r="H690" s="14"/>
    </row>
    <row r="691">
      <c r="G691" s="14"/>
      <c r="H691" s="14"/>
    </row>
    <row r="692">
      <c r="G692" s="14"/>
      <c r="H692" s="14"/>
    </row>
    <row r="693">
      <c r="G693" s="14"/>
      <c r="H693" s="14"/>
    </row>
    <row r="694">
      <c r="G694" s="14"/>
      <c r="H694" s="14"/>
    </row>
    <row r="695">
      <c r="G695" s="14"/>
      <c r="H695" s="14"/>
    </row>
    <row r="696">
      <c r="G696" s="14"/>
      <c r="H696" s="14"/>
    </row>
    <row r="697">
      <c r="G697" s="14"/>
      <c r="H697" s="14"/>
    </row>
    <row r="698">
      <c r="G698" s="14"/>
      <c r="H698" s="14"/>
    </row>
    <row r="699">
      <c r="G699" s="14"/>
      <c r="H699" s="14"/>
    </row>
    <row r="700">
      <c r="G700" s="14"/>
      <c r="H700" s="14"/>
    </row>
    <row r="701">
      <c r="G701" s="14"/>
      <c r="H701" s="14"/>
    </row>
    <row r="702">
      <c r="G702" s="14"/>
      <c r="H702" s="14"/>
    </row>
    <row r="703">
      <c r="G703" s="14"/>
      <c r="H703" s="14"/>
    </row>
    <row r="704">
      <c r="G704" s="14"/>
      <c r="H704" s="14"/>
    </row>
    <row r="705">
      <c r="G705" s="14"/>
      <c r="H705" s="14"/>
    </row>
    <row r="706">
      <c r="G706" s="14"/>
      <c r="H706" s="14"/>
    </row>
    <row r="707">
      <c r="G707" s="14"/>
      <c r="H707" s="14"/>
    </row>
    <row r="708">
      <c r="G708" s="14"/>
      <c r="H708" s="14"/>
    </row>
    <row r="709">
      <c r="G709" s="14"/>
      <c r="H709" s="14"/>
    </row>
    <row r="710">
      <c r="G710" s="14"/>
      <c r="H710" s="14"/>
    </row>
    <row r="711">
      <c r="G711" s="14"/>
      <c r="H711" s="14"/>
    </row>
    <row r="712">
      <c r="G712" s="14"/>
      <c r="H712" s="14"/>
    </row>
    <row r="713">
      <c r="G713" s="14"/>
      <c r="H713" s="14"/>
    </row>
    <row r="714">
      <c r="G714" s="14"/>
      <c r="H714" s="14"/>
    </row>
    <row r="715">
      <c r="G715" s="14"/>
      <c r="H715" s="14"/>
    </row>
    <row r="716">
      <c r="G716" s="14"/>
      <c r="H716" s="14"/>
    </row>
    <row r="717">
      <c r="G717" s="14"/>
      <c r="H717" s="14"/>
    </row>
    <row r="718">
      <c r="G718" s="14"/>
      <c r="H718" s="14"/>
    </row>
    <row r="719">
      <c r="G719" s="14"/>
      <c r="H719" s="14"/>
    </row>
    <row r="720">
      <c r="G720" s="14"/>
      <c r="H720" s="14"/>
    </row>
    <row r="721">
      <c r="G721" s="14"/>
      <c r="H721" s="14"/>
    </row>
    <row r="722">
      <c r="G722" s="14"/>
      <c r="H722" s="14"/>
    </row>
    <row r="723">
      <c r="G723" s="14"/>
      <c r="H723" s="14"/>
    </row>
    <row r="724">
      <c r="G724" s="14"/>
      <c r="H724" s="14"/>
    </row>
    <row r="725">
      <c r="G725" s="14"/>
      <c r="H725" s="14"/>
    </row>
    <row r="726">
      <c r="G726" s="14"/>
      <c r="H726" s="14"/>
    </row>
    <row r="727">
      <c r="G727" s="14"/>
      <c r="H727" s="14"/>
    </row>
    <row r="728">
      <c r="G728" s="14"/>
      <c r="H728" s="14"/>
    </row>
    <row r="729">
      <c r="G729" s="14"/>
      <c r="H729" s="14"/>
    </row>
    <row r="730">
      <c r="G730" s="14"/>
      <c r="H730" s="14"/>
    </row>
    <row r="731">
      <c r="G731" s="14"/>
      <c r="H731" s="14"/>
    </row>
    <row r="732">
      <c r="G732" s="14"/>
      <c r="H732" s="14"/>
    </row>
    <row r="733">
      <c r="G733" s="14"/>
      <c r="H733" s="14"/>
    </row>
    <row r="734">
      <c r="G734" s="14"/>
      <c r="H734" s="14"/>
    </row>
    <row r="735">
      <c r="G735" s="14"/>
      <c r="H735" s="14"/>
    </row>
    <row r="736">
      <c r="G736" s="14"/>
      <c r="H736" s="14"/>
    </row>
    <row r="737">
      <c r="G737" s="14"/>
      <c r="H737" s="14"/>
    </row>
    <row r="738">
      <c r="G738" s="14"/>
      <c r="H738" s="14"/>
    </row>
    <row r="739">
      <c r="G739" s="14"/>
      <c r="H739" s="14"/>
    </row>
    <row r="740">
      <c r="G740" s="14"/>
      <c r="H740" s="14"/>
    </row>
    <row r="741">
      <c r="G741" s="14"/>
      <c r="H741" s="14"/>
    </row>
    <row r="742">
      <c r="G742" s="14"/>
      <c r="H742" s="14"/>
    </row>
    <row r="743">
      <c r="G743" s="14"/>
      <c r="H743" s="14"/>
    </row>
    <row r="744">
      <c r="G744" s="14"/>
      <c r="H744" s="14"/>
    </row>
    <row r="745">
      <c r="G745" s="14"/>
      <c r="H745" s="14"/>
    </row>
    <row r="746">
      <c r="G746" s="14"/>
      <c r="H746" s="14"/>
    </row>
    <row r="747">
      <c r="G747" s="14"/>
      <c r="H747" s="14"/>
    </row>
    <row r="748">
      <c r="G748" s="14"/>
      <c r="H748" s="14"/>
    </row>
    <row r="749">
      <c r="G749" s="14"/>
      <c r="H749" s="14"/>
    </row>
    <row r="750">
      <c r="G750" s="14"/>
      <c r="H750" s="14"/>
    </row>
    <row r="751">
      <c r="G751" s="14"/>
      <c r="H751" s="14"/>
    </row>
    <row r="752">
      <c r="G752" s="14"/>
      <c r="H752" s="14"/>
    </row>
    <row r="753">
      <c r="G753" s="14"/>
      <c r="H753" s="14"/>
    </row>
    <row r="754">
      <c r="G754" s="14"/>
      <c r="H754" s="14"/>
    </row>
    <row r="755">
      <c r="G755" s="14"/>
      <c r="H755" s="14"/>
    </row>
    <row r="756">
      <c r="G756" s="14"/>
      <c r="H756" s="14"/>
    </row>
    <row r="757">
      <c r="G757" s="14"/>
      <c r="H757" s="14"/>
    </row>
    <row r="758">
      <c r="G758" s="14"/>
      <c r="H758" s="14"/>
    </row>
    <row r="759">
      <c r="G759" s="14"/>
      <c r="H759" s="14"/>
    </row>
    <row r="760">
      <c r="G760" s="14"/>
      <c r="H760" s="14"/>
    </row>
    <row r="761">
      <c r="G761" s="14"/>
      <c r="H761" s="14"/>
    </row>
    <row r="762">
      <c r="G762" s="14"/>
      <c r="H762" s="14"/>
    </row>
    <row r="763">
      <c r="G763" s="14"/>
      <c r="H763" s="14"/>
    </row>
    <row r="764">
      <c r="G764" s="14"/>
      <c r="H764" s="14"/>
    </row>
    <row r="765">
      <c r="G765" s="14"/>
      <c r="H765" s="14"/>
    </row>
    <row r="766">
      <c r="G766" s="14"/>
      <c r="H766" s="14"/>
    </row>
    <row r="767">
      <c r="G767" s="14"/>
      <c r="H767" s="14"/>
    </row>
    <row r="768">
      <c r="G768" s="14"/>
      <c r="H768" s="14"/>
    </row>
    <row r="769">
      <c r="G769" s="14"/>
      <c r="H769" s="14"/>
    </row>
    <row r="770">
      <c r="G770" s="14"/>
      <c r="H770" s="14"/>
    </row>
    <row r="771">
      <c r="G771" s="14"/>
      <c r="H771" s="14"/>
    </row>
    <row r="772">
      <c r="G772" s="14"/>
      <c r="H772" s="14"/>
    </row>
    <row r="773">
      <c r="G773" s="14"/>
      <c r="H773" s="14"/>
    </row>
    <row r="774">
      <c r="G774" s="14"/>
      <c r="H774" s="14"/>
    </row>
    <row r="775">
      <c r="G775" s="14"/>
      <c r="H775" s="14"/>
    </row>
    <row r="776">
      <c r="G776" s="14"/>
      <c r="H776" s="14"/>
    </row>
    <row r="777">
      <c r="G777" s="14"/>
      <c r="H777" s="14"/>
    </row>
    <row r="778">
      <c r="G778" s="14"/>
      <c r="H778" s="14"/>
    </row>
    <row r="779">
      <c r="G779" s="14"/>
      <c r="H779" s="14"/>
    </row>
    <row r="780">
      <c r="G780" s="14"/>
      <c r="H780" s="14"/>
    </row>
    <row r="781">
      <c r="G781" s="14"/>
      <c r="H781" s="14"/>
    </row>
    <row r="782">
      <c r="G782" s="14"/>
      <c r="H782" s="14"/>
    </row>
    <row r="783">
      <c r="G783" s="14"/>
      <c r="H783" s="14"/>
    </row>
    <row r="784">
      <c r="G784" s="14"/>
      <c r="H784" s="14"/>
    </row>
    <row r="785">
      <c r="G785" s="14"/>
      <c r="H785" s="14"/>
    </row>
    <row r="786">
      <c r="G786" s="14"/>
      <c r="H786" s="14"/>
    </row>
    <row r="787">
      <c r="G787" s="14"/>
      <c r="H787" s="14"/>
    </row>
    <row r="788">
      <c r="G788" s="14"/>
      <c r="H788" s="14"/>
    </row>
    <row r="789">
      <c r="G789" s="14"/>
      <c r="H789" s="14"/>
    </row>
    <row r="790">
      <c r="G790" s="14"/>
      <c r="H790" s="14"/>
    </row>
    <row r="791">
      <c r="G791" s="14"/>
      <c r="H791" s="14"/>
    </row>
    <row r="792">
      <c r="G792" s="14"/>
      <c r="H792" s="14"/>
    </row>
    <row r="793">
      <c r="G793" s="14"/>
      <c r="H793" s="14"/>
    </row>
    <row r="794">
      <c r="G794" s="14"/>
      <c r="H794" s="14"/>
    </row>
    <row r="795">
      <c r="G795" s="14"/>
      <c r="H795" s="14"/>
    </row>
    <row r="796">
      <c r="G796" s="14"/>
      <c r="H796" s="14"/>
    </row>
    <row r="797">
      <c r="G797" s="14"/>
      <c r="H797" s="14"/>
    </row>
    <row r="798">
      <c r="G798" s="14"/>
      <c r="H798" s="14"/>
    </row>
    <row r="799">
      <c r="G799" s="14"/>
      <c r="H799" s="14"/>
    </row>
    <row r="800">
      <c r="G800" s="14"/>
      <c r="H800" s="14"/>
    </row>
    <row r="801">
      <c r="G801" s="14"/>
      <c r="H801" s="14"/>
    </row>
    <row r="802">
      <c r="G802" s="14"/>
      <c r="H802" s="14"/>
    </row>
    <row r="803">
      <c r="G803" s="14"/>
      <c r="H803" s="14"/>
    </row>
    <row r="804">
      <c r="G804" s="14"/>
      <c r="H804" s="14"/>
    </row>
    <row r="805">
      <c r="G805" s="14"/>
      <c r="H805" s="14"/>
    </row>
    <row r="806">
      <c r="G806" s="14"/>
      <c r="H806" s="14"/>
    </row>
    <row r="807">
      <c r="G807" s="14"/>
      <c r="H807" s="14"/>
    </row>
    <row r="808">
      <c r="G808" s="14"/>
      <c r="H808" s="14"/>
    </row>
    <row r="809">
      <c r="G809" s="14"/>
      <c r="H809" s="14"/>
    </row>
    <row r="810">
      <c r="G810" s="14"/>
      <c r="H810" s="14"/>
    </row>
    <row r="811">
      <c r="G811" s="14"/>
      <c r="H811" s="14"/>
    </row>
    <row r="812">
      <c r="G812" s="14"/>
      <c r="H812" s="14"/>
    </row>
    <row r="813">
      <c r="G813" s="14"/>
      <c r="H813" s="14"/>
    </row>
    <row r="814">
      <c r="G814" s="14"/>
      <c r="H814" s="14"/>
    </row>
    <row r="815">
      <c r="G815" s="14"/>
      <c r="H815" s="14"/>
    </row>
    <row r="816">
      <c r="G816" s="14"/>
      <c r="H816" s="14"/>
    </row>
    <row r="817">
      <c r="G817" s="14"/>
      <c r="H817" s="14"/>
    </row>
    <row r="818">
      <c r="G818" s="14"/>
      <c r="H818" s="14"/>
    </row>
    <row r="819">
      <c r="G819" s="14"/>
      <c r="H819" s="14"/>
    </row>
    <row r="820">
      <c r="G820" s="14"/>
      <c r="H820" s="14"/>
    </row>
    <row r="821">
      <c r="G821" s="14"/>
      <c r="H821" s="14"/>
    </row>
    <row r="822">
      <c r="G822" s="14"/>
      <c r="H822" s="14"/>
    </row>
    <row r="823">
      <c r="G823" s="14"/>
      <c r="H823" s="14"/>
    </row>
    <row r="824">
      <c r="G824" s="14"/>
      <c r="H824" s="14"/>
    </row>
    <row r="825">
      <c r="G825" s="14"/>
      <c r="H825" s="14"/>
    </row>
    <row r="826">
      <c r="G826" s="14"/>
      <c r="H826" s="14"/>
    </row>
    <row r="827">
      <c r="G827" s="14"/>
      <c r="H827" s="14"/>
    </row>
    <row r="828">
      <c r="G828" s="14"/>
      <c r="H828" s="14"/>
    </row>
    <row r="829">
      <c r="G829" s="14"/>
      <c r="H829" s="14"/>
    </row>
    <row r="830">
      <c r="G830" s="14"/>
      <c r="H830" s="14"/>
    </row>
    <row r="831">
      <c r="G831" s="14"/>
      <c r="H831" s="14"/>
    </row>
    <row r="832">
      <c r="G832" s="14"/>
      <c r="H832" s="14"/>
    </row>
    <row r="833">
      <c r="G833" s="14"/>
      <c r="H833" s="14"/>
    </row>
    <row r="834">
      <c r="G834" s="14"/>
      <c r="H834" s="14"/>
    </row>
    <row r="835">
      <c r="G835" s="14"/>
      <c r="H835" s="14"/>
    </row>
    <row r="836">
      <c r="G836" s="14"/>
      <c r="H836" s="14"/>
    </row>
    <row r="837">
      <c r="G837" s="14"/>
      <c r="H837" s="14"/>
    </row>
    <row r="838">
      <c r="G838" s="14"/>
      <c r="H838" s="14"/>
    </row>
    <row r="839">
      <c r="G839" s="14"/>
      <c r="H839" s="14"/>
    </row>
    <row r="840">
      <c r="G840" s="14"/>
      <c r="H840" s="14"/>
    </row>
    <row r="841">
      <c r="G841" s="14"/>
      <c r="H841" s="14"/>
    </row>
    <row r="842">
      <c r="G842" s="14"/>
      <c r="H842" s="14"/>
    </row>
    <row r="843">
      <c r="G843" s="14"/>
      <c r="H843" s="14"/>
    </row>
    <row r="844">
      <c r="G844" s="14"/>
      <c r="H844" s="14"/>
    </row>
    <row r="845">
      <c r="G845" s="14"/>
      <c r="H845" s="14"/>
    </row>
    <row r="846">
      <c r="G846" s="14"/>
      <c r="H846" s="14"/>
    </row>
    <row r="847">
      <c r="G847" s="14"/>
      <c r="H847" s="14"/>
    </row>
    <row r="848">
      <c r="G848" s="14"/>
      <c r="H848" s="14"/>
    </row>
    <row r="849">
      <c r="G849" s="14"/>
      <c r="H849" s="14"/>
    </row>
    <row r="850">
      <c r="G850" s="14"/>
      <c r="H850" s="14"/>
    </row>
    <row r="851">
      <c r="G851" s="14"/>
      <c r="H851" s="14"/>
    </row>
    <row r="852">
      <c r="G852" s="14"/>
      <c r="H852" s="14"/>
    </row>
    <row r="853">
      <c r="G853" s="14"/>
      <c r="H853" s="14"/>
    </row>
    <row r="854">
      <c r="G854" s="14"/>
      <c r="H854" s="14"/>
    </row>
    <row r="855">
      <c r="G855" s="14"/>
      <c r="H855" s="14"/>
    </row>
    <row r="856">
      <c r="G856" s="14"/>
      <c r="H856" s="14"/>
    </row>
    <row r="857">
      <c r="G857" s="14"/>
      <c r="H857" s="14"/>
    </row>
    <row r="858">
      <c r="G858" s="14"/>
      <c r="H858" s="14"/>
    </row>
    <row r="859">
      <c r="G859" s="14"/>
      <c r="H859" s="14"/>
    </row>
    <row r="860">
      <c r="G860" s="14"/>
      <c r="H860" s="14"/>
    </row>
    <row r="861">
      <c r="G861" s="14"/>
      <c r="H861" s="14"/>
    </row>
    <row r="862">
      <c r="G862" s="14"/>
      <c r="H862" s="14"/>
    </row>
    <row r="863">
      <c r="G863" s="14"/>
      <c r="H863" s="14"/>
    </row>
    <row r="864">
      <c r="G864" s="14"/>
      <c r="H864" s="14"/>
    </row>
    <row r="865">
      <c r="G865" s="14"/>
      <c r="H865" s="14"/>
    </row>
    <row r="866">
      <c r="G866" s="14"/>
      <c r="H866" s="14"/>
    </row>
    <row r="867">
      <c r="G867" s="14"/>
      <c r="H867" s="14"/>
    </row>
    <row r="868">
      <c r="G868" s="14"/>
      <c r="H868" s="14"/>
    </row>
    <row r="869">
      <c r="G869" s="14"/>
      <c r="H869" s="14"/>
    </row>
    <row r="870">
      <c r="G870" s="14"/>
      <c r="H870" s="14"/>
    </row>
    <row r="871">
      <c r="G871" s="14"/>
      <c r="H871" s="14"/>
    </row>
    <row r="872">
      <c r="G872" s="14"/>
      <c r="H872" s="14"/>
    </row>
    <row r="873">
      <c r="G873" s="14"/>
      <c r="H873" s="14"/>
    </row>
    <row r="874">
      <c r="G874" s="14"/>
      <c r="H874" s="14"/>
    </row>
    <row r="875">
      <c r="G875" s="14"/>
      <c r="H875" s="14"/>
    </row>
    <row r="876">
      <c r="G876" s="14"/>
      <c r="H876" s="14"/>
    </row>
    <row r="877">
      <c r="G877" s="14"/>
      <c r="H877" s="14"/>
    </row>
    <row r="878">
      <c r="G878" s="14"/>
      <c r="H878" s="14"/>
    </row>
    <row r="879">
      <c r="G879" s="14"/>
      <c r="H879" s="14"/>
    </row>
    <row r="880">
      <c r="G880" s="14"/>
      <c r="H880" s="14"/>
    </row>
    <row r="881">
      <c r="G881" s="14"/>
      <c r="H881" s="14"/>
    </row>
    <row r="882">
      <c r="G882" s="14"/>
      <c r="H882" s="14"/>
    </row>
    <row r="883">
      <c r="G883" s="14"/>
      <c r="H883" s="14"/>
    </row>
    <row r="884">
      <c r="G884" s="14"/>
      <c r="H884" s="14"/>
    </row>
    <row r="885">
      <c r="G885" s="14"/>
      <c r="H885" s="14"/>
    </row>
    <row r="886">
      <c r="G886" s="14"/>
      <c r="H886" s="14"/>
    </row>
    <row r="887">
      <c r="G887" s="14"/>
      <c r="H887" s="14"/>
    </row>
    <row r="888">
      <c r="G888" s="14"/>
      <c r="H888" s="14"/>
    </row>
    <row r="889">
      <c r="G889" s="14"/>
      <c r="H889" s="14"/>
    </row>
    <row r="890">
      <c r="G890" s="14"/>
      <c r="H890" s="14"/>
    </row>
    <row r="891">
      <c r="G891" s="14"/>
      <c r="H891" s="14"/>
    </row>
    <row r="892">
      <c r="G892" s="14"/>
      <c r="H892" s="14"/>
    </row>
    <row r="893">
      <c r="G893" s="14"/>
      <c r="H893" s="14"/>
    </row>
    <row r="894">
      <c r="G894" s="14"/>
      <c r="H894" s="14"/>
    </row>
    <row r="895">
      <c r="G895" s="14"/>
      <c r="H895" s="14"/>
    </row>
    <row r="896">
      <c r="G896" s="14"/>
      <c r="H896" s="14"/>
    </row>
    <row r="897">
      <c r="G897" s="14"/>
      <c r="H897" s="14"/>
    </row>
    <row r="898">
      <c r="G898" s="14"/>
      <c r="H898" s="14"/>
    </row>
    <row r="899">
      <c r="G899" s="14"/>
      <c r="H899" s="14"/>
    </row>
    <row r="900">
      <c r="G900" s="14"/>
      <c r="H900" s="14"/>
    </row>
    <row r="901">
      <c r="G901" s="14"/>
      <c r="H901" s="14"/>
    </row>
    <row r="902">
      <c r="G902" s="14"/>
      <c r="H902" s="14"/>
    </row>
    <row r="903">
      <c r="G903" s="14"/>
      <c r="H903" s="14"/>
    </row>
    <row r="904">
      <c r="G904" s="14"/>
      <c r="H904" s="14"/>
    </row>
    <row r="905">
      <c r="G905" s="14"/>
      <c r="H905" s="14"/>
    </row>
    <row r="906">
      <c r="G906" s="14"/>
      <c r="H906" s="14"/>
    </row>
    <row r="907">
      <c r="G907" s="14"/>
      <c r="H907" s="14"/>
    </row>
    <row r="908">
      <c r="G908" s="14"/>
      <c r="H908" s="14"/>
    </row>
    <row r="909">
      <c r="G909" s="14"/>
      <c r="H909" s="14"/>
    </row>
    <row r="910">
      <c r="G910" s="14"/>
      <c r="H910" s="14"/>
    </row>
    <row r="911">
      <c r="G911" s="14"/>
      <c r="H911" s="14"/>
    </row>
    <row r="912">
      <c r="G912" s="14"/>
      <c r="H912" s="14"/>
    </row>
    <row r="913">
      <c r="G913" s="14"/>
      <c r="H913" s="14"/>
    </row>
    <row r="914">
      <c r="G914" s="14"/>
      <c r="H914" s="14"/>
    </row>
    <row r="915">
      <c r="G915" s="14"/>
      <c r="H915" s="14"/>
    </row>
    <row r="916">
      <c r="G916" s="14"/>
      <c r="H916" s="14"/>
    </row>
    <row r="917">
      <c r="G917" s="14"/>
      <c r="H917" s="14"/>
    </row>
    <row r="918">
      <c r="G918" s="14"/>
      <c r="H918" s="14"/>
    </row>
    <row r="919">
      <c r="G919" s="14"/>
      <c r="H919" s="14"/>
    </row>
    <row r="920">
      <c r="G920" s="14"/>
      <c r="H920" s="14"/>
    </row>
    <row r="921">
      <c r="G921" s="14"/>
      <c r="H921" s="14"/>
    </row>
    <row r="922">
      <c r="G922" s="14"/>
      <c r="H922" s="14"/>
    </row>
    <row r="923">
      <c r="G923" s="14"/>
      <c r="H923" s="14"/>
    </row>
    <row r="924">
      <c r="G924" s="14"/>
      <c r="H924" s="14"/>
    </row>
    <row r="925">
      <c r="G925" s="14"/>
      <c r="H925" s="14"/>
    </row>
    <row r="926">
      <c r="G926" s="14"/>
      <c r="H926" s="14"/>
    </row>
    <row r="927">
      <c r="G927" s="14"/>
      <c r="H927" s="14"/>
    </row>
    <row r="928">
      <c r="G928" s="14"/>
      <c r="H928" s="14"/>
    </row>
    <row r="929">
      <c r="G929" s="14"/>
      <c r="H929" s="14"/>
    </row>
    <row r="930">
      <c r="G930" s="14"/>
      <c r="H930" s="14"/>
    </row>
    <row r="931">
      <c r="G931" s="14"/>
      <c r="H931" s="14"/>
    </row>
    <row r="932">
      <c r="G932" s="14"/>
      <c r="H932" s="14"/>
    </row>
    <row r="933">
      <c r="G933" s="14"/>
      <c r="H933" s="14"/>
    </row>
    <row r="934">
      <c r="G934" s="14"/>
      <c r="H934" s="14"/>
    </row>
    <row r="935">
      <c r="G935" s="14"/>
      <c r="H935" s="14"/>
    </row>
    <row r="936">
      <c r="G936" s="14"/>
      <c r="H936" s="14"/>
    </row>
    <row r="937">
      <c r="G937" s="14"/>
      <c r="H937" s="14"/>
    </row>
    <row r="938">
      <c r="G938" s="14"/>
      <c r="H938" s="14"/>
    </row>
    <row r="939">
      <c r="G939" s="14"/>
      <c r="H939" s="14"/>
    </row>
    <row r="940">
      <c r="G940" s="14"/>
      <c r="H940" s="14"/>
    </row>
    <row r="941">
      <c r="G941" s="14"/>
      <c r="H941" s="14"/>
    </row>
    <row r="942">
      <c r="G942" s="14"/>
      <c r="H942" s="14"/>
    </row>
    <row r="943">
      <c r="G943" s="14"/>
      <c r="H943" s="14"/>
    </row>
    <row r="944">
      <c r="G944" s="14"/>
      <c r="H944" s="14"/>
    </row>
    <row r="945">
      <c r="G945" s="14"/>
      <c r="H945" s="14"/>
    </row>
    <row r="946">
      <c r="G946" s="14"/>
      <c r="H946" s="14"/>
    </row>
    <row r="947">
      <c r="G947" s="14"/>
      <c r="H947" s="14"/>
    </row>
    <row r="948">
      <c r="G948" s="14"/>
      <c r="H948" s="14"/>
    </row>
    <row r="949">
      <c r="G949" s="14"/>
      <c r="H949" s="14"/>
    </row>
    <row r="950">
      <c r="G950" s="14"/>
      <c r="H950" s="14"/>
    </row>
    <row r="951">
      <c r="G951" s="14"/>
      <c r="H951" s="14"/>
    </row>
    <row r="952">
      <c r="G952" s="14"/>
      <c r="H952" s="14"/>
    </row>
    <row r="953">
      <c r="G953" s="14"/>
      <c r="H953" s="14"/>
    </row>
    <row r="954">
      <c r="G954" s="14"/>
      <c r="H954" s="14"/>
    </row>
    <row r="955">
      <c r="G955" s="14"/>
      <c r="H955" s="14"/>
    </row>
    <row r="956">
      <c r="G956" s="14"/>
      <c r="H956" s="14"/>
    </row>
    <row r="957">
      <c r="G957" s="14"/>
      <c r="H957" s="14"/>
    </row>
    <row r="958">
      <c r="G958" s="14"/>
      <c r="H958" s="14"/>
    </row>
    <row r="959">
      <c r="G959" s="14"/>
      <c r="H959" s="14"/>
    </row>
    <row r="960">
      <c r="G960" s="14"/>
      <c r="H960" s="14"/>
    </row>
    <row r="961">
      <c r="G961" s="14"/>
      <c r="H961" s="14"/>
    </row>
    <row r="962">
      <c r="G962" s="14"/>
      <c r="H962" s="14"/>
    </row>
    <row r="963">
      <c r="G963" s="14"/>
      <c r="H963" s="14"/>
    </row>
    <row r="964">
      <c r="G964" s="14"/>
      <c r="H964" s="14"/>
    </row>
    <row r="965">
      <c r="G965" s="14"/>
      <c r="H965" s="14"/>
    </row>
    <row r="966">
      <c r="G966" s="14"/>
      <c r="H966" s="14"/>
    </row>
    <row r="967">
      <c r="G967" s="14"/>
      <c r="H967" s="14"/>
    </row>
    <row r="968">
      <c r="G968" s="14"/>
      <c r="H968" s="14"/>
    </row>
    <row r="969">
      <c r="G969" s="14"/>
      <c r="H969" s="14"/>
    </row>
    <row r="970">
      <c r="G970" s="14"/>
      <c r="H970" s="14"/>
    </row>
    <row r="971">
      <c r="G971" s="14"/>
      <c r="H971" s="14"/>
    </row>
    <row r="972">
      <c r="G972" s="14"/>
      <c r="H972" s="14"/>
    </row>
    <row r="973">
      <c r="G973" s="14"/>
      <c r="H973" s="14"/>
    </row>
    <row r="974">
      <c r="G974" s="14"/>
      <c r="H974" s="14"/>
    </row>
    <row r="975">
      <c r="G975" s="14"/>
      <c r="H975" s="14"/>
    </row>
    <row r="976">
      <c r="G976" s="14"/>
      <c r="H976" s="14"/>
    </row>
    <row r="977">
      <c r="G977" s="14"/>
      <c r="H977" s="14"/>
    </row>
    <row r="978">
      <c r="G978" s="14"/>
      <c r="H978" s="14"/>
    </row>
    <row r="979">
      <c r="G979" s="14"/>
      <c r="H979" s="14"/>
    </row>
    <row r="980">
      <c r="G980" s="14"/>
      <c r="H980" s="14"/>
    </row>
    <row r="981">
      <c r="G981" s="14"/>
      <c r="H981" s="14"/>
    </row>
    <row r="982">
      <c r="G982" s="14"/>
      <c r="H982" s="14"/>
    </row>
    <row r="983">
      <c r="G983" s="14"/>
      <c r="H983" s="14"/>
    </row>
    <row r="984">
      <c r="G984" s="14"/>
      <c r="H984" s="14"/>
    </row>
    <row r="985">
      <c r="G985" s="14"/>
      <c r="H985" s="14"/>
    </row>
    <row r="986">
      <c r="G986" s="14"/>
      <c r="H986" s="14"/>
    </row>
    <row r="987">
      <c r="G987" s="14"/>
      <c r="H987" s="14"/>
    </row>
    <row r="988">
      <c r="G988" s="14"/>
      <c r="H988" s="14"/>
    </row>
    <row r="989">
      <c r="G989" s="14"/>
      <c r="H989" s="14"/>
    </row>
    <row r="990">
      <c r="G990" s="14"/>
      <c r="H990" s="14"/>
    </row>
    <row r="991">
      <c r="G991" s="14"/>
      <c r="H991" s="14"/>
    </row>
    <row r="992">
      <c r="G992" s="14"/>
      <c r="H992" s="14"/>
    </row>
    <row r="993">
      <c r="G993" s="14"/>
      <c r="H993" s="14"/>
    </row>
    <row r="994">
      <c r="G994" s="14"/>
      <c r="H994" s="14"/>
    </row>
    <row r="995">
      <c r="G995" s="14"/>
      <c r="H995" s="14"/>
    </row>
    <row r="996">
      <c r="G996" s="14"/>
      <c r="H996" s="14"/>
    </row>
    <row r="997">
      <c r="G997" s="14"/>
      <c r="H997" s="14"/>
    </row>
    <row r="998">
      <c r="G998" s="14"/>
      <c r="H998" s="14"/>
    </row>
    <row r="999">
      <c r="G999" s="14"/>
      <c r="H999" s="14"/>
    </row>
    <row r="1000">
      <c r="G1000" s="14"/>
      <c r="H1000" s="14"/>
    </row>
  </sheetData>
  <dataValidations>
    <dataValidation type="list" allowBlank="1" sqref="I2:I28">
      <formula1>"Signed,Closed"</formula1>
    </dataValidation>
    <dataValidation type="list" allowBlank="1" sqref="B2:D28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4" max="4" width="18.75"/>
  </cols>
  <sheetData>
    <row r="1" ht="22.5" customHeight="1">
      <c r="A1" s="1" t="s">
        <v>134</v>
      </c>
      <c r="B1" s="1" t="s">
        <v>100</v>
      </c>
      <c r="C1" s="1" t="s">
        <v>135</v>
      </c>
      <c r="D1" s="1" t="s">
        <v>136</v>
      </c>
      <c r="E1" s="1" t="s">
        <v>137</v>
      </c>
    </row>
    <row r="2" ht="22.5" customHeight="1">
      <c r="A2" s="4" t="s">
        <v>10</v>
      </c>
      <c r="B2" s="4" t="s">
        <v>114</v>
      </c>
      <c r="C2" s="4" t="s">
        <v>70</v>
      </c>
      <c r="D2" s="15">
        <v>1200000.0</v>
      </c>
      <c r="E2" s="16">
        <v>46064.0</v>
      </c>
    </row>
    <row r="3" ht="22.5" customHeight="1">
      <c r="A3" s="4" t="s">
        <v>13</v>
      </c>
      <c r="B3" s="4" t="s">
        <v>116</v>
      </c>
      <c r="C3" s="4" t="s">
        <v>74</v>
      </c>
      <c r="D3" s="15">
        <v>950000.0</v>
      </c>
      <c r="E3" s="16">
        <v>46065.0</v>
      </c>
    </row>
    <row r="4" ht="22.5" customHeight="1">
      <c r="A4" s="4" t="s">
        <v>138</v>
      </c>
      <c r="B4" s="4" t="s">
        <v>118</v>
      </c>
      <c r="C4" s="4" t="s">
        <v>78</v>
      </c>
      <c r="D4" s="15">
        <v>1100000.0</v>
      </c>
      <c r="E4" s="16">
        <v>46117.0</v>
      </c>
    </row>
    <row r="5" ht="22.5" customHeight="1">
      <c r="A5" s="4" t="s">
        <v>139</v>
      </c>
      <c r="B5" s="4" t="s">
        <v>117</v>
      </c>
      <c r="C5" s="4" t="s">
        <v>76</v>
      </c>
      <c r="D5" s="15">
        <v>1000000.0</v>
      </c>
      <c r="E5" s="16">
        <v>46093.0</v>
      </c>
    </row>
    <row r="6" ht="22.5" customHeight="1">
      <c r="A6" s="4" t="s">
        <v>140</v>
      </c>
      <c r="B6" s="4" t="s">
        <v>117</v>
      </c>
      <c r="C6" s="4" t="s">
        <v>76</v>
      </c>
      <c r="D6" s="15">
        <v>500000.0</v>
      </c>
      <c r="E6" s="16">
        <v>46063.0</v>
      </c>
    </row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36.88"/>
    <col customWidth="1" min="4" max="4" width="19.75"/>
    <col customWidth="1" min="5" max="5" width="33.88"/>
    <col customWidth="1" min="7" max="7" width="14.5"/>
    <col customWidth="1" min="8" max="8" width="13.0"/>
    <col customWidth="1" min="9" max="9" width="16.88"/>
    <col customWidth="1" min="10" max="10" width="22.5"/>
  </cols>
  <sheetData>
    <row r="1" ht="22.5" customHeight="1">
      <c r="A1" s="1" t="s">
        <v>134</v>
      </c>
      <c r="B1" s="1" t="s">
        <v>137</v>
      </c>
      <c r="C1" s="1" t="s">
        <v>135</v>
      </c>
      <c r="D1" s="1" t="s">
        <v>141</v>
      </c>
      <c r="E1" s="17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ht="22.5" customHeight="1">
      <c r="A2" s="18" t="s">
        <v>10</v>
      </c>
      <c r="B2" s="19">
        <v>46064.0</v>
      </c>
      <c r="C2" s="20" t="s">
        <v>70</v>
      </c>
      <c r="D2" s="21" t="s">
        <v>27</v>
      </c>
      <c r="E2" s="22" t="str">
        <f>  CONCATENATE(LEFT(VLOOKUP(C2, Clients!$A$2:$B$14, 2, FALSE)&amp; REPT(" ", 20), 20) , " [",VLOOKUP(D2, Units!$A$2:$B$14, 2, FALSE),"]")</f>
        <v>Agne Durakovic       [Budva Residence]</v>
      </c>
      <c r="F2" s="18">
        <v>1.0E7</v>
      </c>
      <c r="G2" s="21" t="s">
        <v>147</v>
      </c>
      <c r="H2" s="10"/>
      <c r="I2" s="21" t="s">
        <v>148</v>
      </c>
    </row>
    <row r="3" ht="22.5" customHeight="1">
      <c r="A3" s="18" t="s">
        <v>13</v>
      </c>
      <c r="B3" s="19">
        <v>46065.0</v>
      </c>
      <c r="C3" s="23" t="s">
        <v>74</v>
      </c>
      <c r="D3" s="21" t="s">
        <v>23</v>
      </c>
      <c r="E3" s="22" t="str">
        <f>  CONCATENATE(LEFT(VLOOKUP(C3, Clients!$A$2:$B$14, 2, FALSE)&amp; REPT(" ", 20), 20) , " [",VLOOKUP(D3, Units!$A$2:$B$14, 2, FALSE),"]")</f>
        <v>Alexabder Sagalovic  [Budva Residence]</v>
      </c>
      <c r="F3" s="18">
        <v>2.0E7</v>
      </c>
      <c r="G3" s="21" t="s">
        <v>147</v>
      </c>
      <c r="H3" s="10"/>
      <c r="I3" s="21" t="s">
        <v>148</v>
      </c>
    </row>
    <row r="4" ht="22.5" customHeight="1">
      <c r="A4" s="18" t="s">
        <v>16</v>
      </c>
      <c r="B4" s="19">
        <v>46071.0</v>
      </c>
      <c r="C4" s="24" t="s">
        <v>70</v>
      </c>
      <c r="D4" s="21" t="s">
        <v>34</v>
      </c>
      <c r="E4" s="22" t="str">
        <f>  CONCATENATE(LEFT(VLOOKUP(C4, Clients!$A$2:$B$14, 2, FALSE)&amp; REPT(" ", 20), 20) , " [",VLOOKUP(D4, Units!$A$2:$B$14, 2, FALSE),"]")</f>
        <v>Agne Durakovic       [Ulcin Residence]</v>
      </c>
      <c r="F4" s="18">
        <v>3000000.0</v>
      </c>
      <c r="G4" s="21" t="s">
        <v>147</v>
      </c>
      <c r="H4" s="10"/>
      <c r="I4" s="21" t="s">
        <v>148</v>
      </c>
    </row>
    <row r="5" ht="22.5" customHeight="1">
      <c r="A5" s="18" t="s">
        <v>149</v>
      </c>
      <c r="B5" s="19">
        <v>46116.0</v>
      </c>
      <c r="C5" s="25" t="s">
        <v>74</v>
      </c>
      <c r="D5" s="21" t="s">
        <v>36</v>
      </c>
      <c r="E5" s="22" t="str">
        <f>  CONCATENATE(LEFT(VLOOKUP(C5, Clients!$A$2:$B$14, 2, FALSE)&amp; REPT(" ", 20), 20) , " [",VLOOKUP(D5, Units!$A$2:$B$14, 2, FALSE),"]")</f>
        <v>Alexabder Sagalovic  [Bar Residence]</v>
      </c>
      <c r="F5" s="18">
        <v>1000000.0</v>
      </c>
      <c r="G5" s="21" t="s">
        <v>147</v>
      </c>
      <c r="H5" s="10"/>
      <c r="I5" s="21" t="s">
        <v>148</v>
      </c>
      <c r="J5" s="26" t="s">
        <v>150</v>
      </c>
    </row>
    <row r="6" ht="22.5" customHeight="1">
      <c r="A6" s="18" t="s">
        <v>138</v>
      </c>
      <c r="B6" s="19">
        <v>46117.0</v>
      </c>
      <c r="C6" s="25" t="s">
        <v>78</v>
      </c>
      <c r="D6" s="21" t="s">
        <v>36</v>
      </c>
      <c r="E6" s="22" t="str">
        <f>  CONCATENATE(LEFT(VLOOKUP(C6, Clients!$A$2:$B$14, 2, FALSE)&amp; REPT(" ", 20), 20) , " [",VLOOKUP(D6, Units!$A$2:$B$14, 2, FALSE),"]")</f>
        <v>Amar I Mersudin Pren [Bar Residence]</v>
      </c>
      <c r="F6" s="18">
        <v>2000000.0</v>
      </c>
      <c r="G6" s="21" t="s">
        <v>147</v>
      </c>
      <c r="H6" s="10"/>
      <c r="I6" s="21" t="s">
        <v>148</v>
      </c>
    </row>
    <row r="7" ht="22.5" customHeight="1">
      <c r="A7" s="18" t="s">
        <v>151</v>
      </c>
      <c r="B7" s="19">
        <v>46118.0</v>
      </c>
      <c r="C7" s="25" t="s">
        <v>82</v>
      </c>
      <c r="D7" s="21" t="s">
        <v>38</v>
      </c>
      <c r="E7" s="22" t="str">
        <f>  CONCATENATE(LEFT(VLOOKUP(C7, Clients!$A$2:$B$14, 2, FALSE)&amp; REPT(" ", 20), 20) , " [",VLOOKUP(D7, Units!$A$2:$B$14, 2, FALSE),"]")</f>
        <v>Anastazija Glavicic  [Budva Residence]</v>
      </c>
      <c r="F7" s="18">
        <v>3000000.0</v>
      </c>
      <c r="G7" s="21" t="s">
        <v>147</v>
      </c>
      <c r="H7" s="10"/>
      <c r="I7" s="21" t="s">
        <v>148</v>
      </c>
    </row>
    <row r="8" ht="22.5" customHeight="1">
      <c r="A8" s="18" t="s">
        <v>139</v>
      </c>
      <c r="B8" s="19">
        <v>46093.0</v>
      </c>
      <c r="C8" s="25" t="s">
        <v>76</v>
      </c>
      <c r="D8" s="21" t="s">
        <v>47</v>
      </c>
      <c r="E8" s="22" t="str">
        <f>  CONCATENATE(LEFT(VLOOKUP(C8, Clients!$A$2:$B$14, 2, FALSE)&amp; REPT(" ", 20), 20) , " [",VLOOKUP(D8, Units!$A$2:$B$14, 2, FALSE),"]")</f>
        <v>Alexander Sagalovich [Budva Residence]</v>
      </c>
      <c r="F8" s="18">
        <v>1000000.0</v>
      </c>
      <c r="G8" s="21" t="s">
        <v>147</v>
      </c>
      <c r="H8" s="10"/>
      <c r="I8" s="21" t="s">
        <v>148</v>
      </c>
    </row>
    <row r="9" ht="22.5" customHeight="1">
      <c r="A9" s="18" t="s">
        <v>152</v>
      </c>
      <c r="B9" s="19">
        <v>46120.0</v>
      </c>
      <c r="C9" s="25" t="s">
        <v>70</v>
      </c>
      <c r="D9" s="21" t="s">
        <v>31</v>
      </c>
      <c r="E9" s="22" t="str">
        <f>  CONCATENATE(LEFT(VLOOKUP(C9, Clients!$A$2:$B$14, 2, FALSE)&amp; REPT(" ", 20), 20) , " [",VLOOKUP(D9, Units!$A$2:$B$14, 2, FALSE),"]")</f>
        <v>Agne Durakovic       [Budva Residence]</v>
      </c>
      <c r="F9" s="18">
        <v>1500000.0</v>
      </c>
      <c r="G9" s="21" t="s">
        <v>147</v>
      </c>
      <c r="H9" s="10"/>
      <c r="I9" s="21" t="s">
        <v>148</v>
      </c>
    </row>
    <row r="10" ht="22.5" customHeight="1">
      <c r="A10" s="18" t="s">
        <v>153</v>
      </c>
      <c r="B10" s="19">
        <v>46065.0</v>
      </c>
      <c r="C10" s="25" t="s">
        <v>78</v>
      </c>
      <c r="D10" s="21" t="s">
        <v>38</v>
      </c>
      <c r="E10" s="22" t="str">
        <f>  CONCATENATE(LEFT(VLOOKUP(C10, Clients!$A$2:$B$14, 2, FALSE)&amp; REPT(" ", 20), 20) , " [",VLOOKUP(D10, Units!$A$2:$B$14, 2, FALSE),"]")</f>
        <v>Amar I Mersudin Pren [Budva Residence]</v>
      </c>
      <c r="F10" s="18">
        <v>1000000.0</v>
      </c>
      <c r="G10" s="21" t="s">
        <v>147</v>
      </c>
      <c r="H10" s="10"/>
      <c r="I10" s="21" t="s">
        <v>148</v>
      </c>
    </row>
    <row r="11" ht="22.5" customHeight="1">
      <c r="A11" s="18" t="s">
        <v>154</v>
      </c>
      <c r="B11" s="19">
        <v>46122.0</v>
      </c>
      <c r="C11" s="27" t="s">
        <v>78</v>
      </c>
      <c r="D11" s="21" t="s">
        <v>23</v>
      </c>
      <c r="E11" s="22" t="str">
        <f>  CONCATENATE(LEFT(VLOOKUP(C11, Clients!$A$2:$B$14, 2, FALSE)&amp; REPT(" ", 20), 20) , " [",VLOOKUP(D11, Units!$A$2:$B$14, 2, FALSE),"]")</f>
        <v>Amar I Mersudin Pren [Budva Residence]</v>
      </c>
      <c r="F11" s="18">
        <v>1500000.0</v>
      </c>
      <c r="G11" s="21" t="s">
        <v>147</v>
      </c>
      <c r="H11" s="10"/>
      <c r="I11" s="21" t="s">
        <v>148</v>
      </c>
    </row>
    <row r="12" ht="22.5" customHeight="1">
      <c r="A12" s="18" t="s">
        <v>155</v>
      </c>
      <c r="B12" s="19">
        <v>46123.0</v>
      </c>
      <c r="C12" s="25" t="s">
        <v>70</v>
      </c>
      <c r="D12" s="21" t="s">
        <v>27</v>
      </c>
      <c r="E12" s="22" t="str">
        <f>  CONCATENATE(LEFT(VLOOKUP(C12, Clients!$A$2:$B$14, 2, FALSE)&amp; REPT(" ", 20), 20) , " [",VLOOKUP(D12, Units!$A$2:$B$14, 2, FALSE),"]")</f>
        <v>Agne Durakovic       [Budva Residence]</v>
      </c>
      <c r="F12" s="28">
        <v>1000000.0</v>
      </c>
      <c r="G12" s="21" t="s">
        <v>147</v>
      </c>
      <c r="H12" s="10"/>
      <c r="I12" s="21" t="s">
        <v>148</v>
      </c>
    </row>
    <row r="13" ht="22.5" customHeight="1">
      <c r="A13" s="18" t="s">
        <v>140</v>
      </c>
      <c r="B13" s="19">
        <v>46063.0</v>
      </c>
      <c r="C13" s="25" t="s">
        <v>76</v>
      </c>
      <c r="D13" s="3" t="s">
        <v>31</v>
      </c>
      <c r="E13" s="22" t="str">
        <f>  CONCATENATE(LEFT(VLOOKUP(C13, Clients!$A$2:$B$14, 2, FALSE)&amp; REPT(" ", 20), 20) , " [",VLOOKUP(D13, Units!$A$2:$B$14, 2, FALSE),"]")</f>
        <v>Alexander Sagalovich [Budva Residence]</v>
      </c>
      <c r="F13" s="29">
        <v>2000000.0</v>
      </c>
      <c r="G13" s="3" t="s">
        <v>147</v>
      </c>
      <c r="I13" s="21" t="s">
        <v>148</v>
      </c>
    </row>
    <row r="14" ht="22.5" customHeight="1">
      <c r="A14" s="18" t="s">
        <v>156</v>
      </c>
      <c r="B14" s="19">
        <v>46125.0</v>
      </c>
      <c r="C14" s="25" t="s">
        <v>76</v>
      </c>
      <c r="D14" s="21" t="s">
        <v>34</v>
      </c>
      <c r="E14" s="22" t="str">
        <f>  CONCATENATE(LEFT(VLOOKUP(C14, Clients!$A$2:$B$14, 2, FALSE)&amp; REPT(" ", 20), 20) , " [",VLOOKUP(D14, Units!$A$2:$B$14, 2, FALSE),"]")</f>
        <v>Alexander Sagalovich [Ulcin Residence]</v>
      </c>
      <c r="F14" s="28">
        <v>3000000.0</v>
      </c>
      <c r="G14" s="21" t="s">
        <v>147</v>
      </c>
      <c r="H14" s="10"/>
      <c r="I14" s="21" t="s">
        <v>148</v>
      </c>
    </row>
    <row r="15" ht="22.5" customHeight="1">
      <c r="A15" s="18" t="s">
        <v>157</v>
      </c>
      <c r="B15" s="19">
        <v>46037.0</v>
      </c>
      <c r="C15" s="25" t="s">
        <v>70</v>
      </c>
      <c r="D15" s="3" t="s">
        <v>31</v>
      </c>
      <c r="E15" s="22" t="str">
        <f>  CONCATENATE(LEFT(VLOOKUP(C15, Clients!$A$2:$B$14, 2, FALSE)&amp; REPT(" ", 20), 20) , " [",VLOOKUP(D15, Units!$A$2:$B$14, 2, FALSE),"]")</f>
        <v>Agne Durakovic       [Budva Residence]</v>
      </c>
      <c r="F15" s="29">
        <v>1.0E7</v>
      </c>
      <c r="G15" s="3" t="s">
        <v>147</v>
      </c>
      <c r="I15" s="21" t="s">
        <v>148</v>
      </c>
    </row>
    <row r="16" ht="22.5" customHeight="1">
      <c r="A16" s="18" t="s">
        <v>158</v>
      </c>
      <c r="B16" s="19">
        <v>45994.0</v>
      </c>
      <c r="C16" s="30" t="s">
        <v>86</v>
      </c>
      <c r="D16" s="21" t="s">
        <v>53</v>
      </c>
      <c r="E16" s="22" t="str">
        <f>  CONCATENATE(LEFT(VLOOKUP(C16, Clients!$A$2:$B$14, 2, FALSE)&amp; REPT(" ", 20), 20) , " [",VLOOKUP(D16, Units!$A$2:$B$14, 2, FALSE),"]")</f>
        <v>Balic Esad           [Ulcin Residence]</v>
      </c>
      <c r="F16" s="28">
        <v>1.5E7</v>
      </c>
      <c r="G16" s="21" t="s">
        <v>147</v>
      </c>
      <c r="H16" s="10"/>
      <c r="I16" s="21" t="s">
        <v>148</v>
      </c>
    </row>
    <row r="17" ht="22.5" customHeight="1">
      <c r="A17" s="10"/>
      <c r="B17" s="31"/>
      <c r="C17" s="32"/>
      <c r="D17" s="9"/>
      <c r="E17" s="10"/>
      <c r="F17" s="10"/>
      <c r="G17" s="9"/>
      <c r="H17" s="10"/>
      <c r="I17" s="33"/>
    </row>
    <row r="18" ht="22.5" customHeight="1">
      <c r="A18" s="10"/>
      <c r="B18" s="31"/>
      <c r="C18" s="32"/>
      <c r="D18" s="9"/>
      <c r="E18" s="10"/>
      <c r="F18" s="10"/>
      <c r="G18" s="9"/>
      <c r="H18" s="10"/>
      <c r="I18" s="33"/>
    </row>
    <row r="19" ht="22.5" customHeight="1">
      <c r="A19" s="10"/>
      <c r="B19" s="31"/>
      <c r="C19" s="32"/>
      <c r="D19" s="9"/>
      <c r="E19" s="10"/>
      <c r="F19" s="10"/>
      <c r="G19" s="9"/>
      <c r="H19" s="10"/>
      <c r="I19" s="33"/>
    </row>
    <row r="20" ht="22.5" customHeight="1">
      <c r="A20" s="10"/>
      <c r="B20" s="31"/>
      <c r="C20" s="32"/>
      <c r="D20" s="9"/>
      <c r="E20" s="10"/>
      <c r="F20" s="10"/>
      <c r="G20" s="9"/>
      <c r="H20" s="10"/>
      <c r="I20" s="33"/>
    </row>
    <row r="21" ht="22.5" customHeight="1">
      <c r="A21" s="10"/>
      <c r="B21" s="31"/>
      <c r="C21" s="32"/>
      <c r="D21" s="9"/>
      <c r="E21" s="10"/>
      <c r="F21" s="10"/>
      <c r="G21" s="9"/>
      <c r="H21" s="10"/>
      <c r="I21" s="33"/>
    </row>
    <row r="22" ht="22.5" customHeight="1">
      <c r="A22" s="10"/>
      <c r="B22" s="31"/>
      <c r="C22" s="32"/>
      <c r="D22" s="9"/>
      <c r="E22" s="10"/>
      <c r="F22" s="10"/>
      <c r="G22" s="9"/>
      <c r="H22" s="10"/>
      <c r="I22" s="33"/>
    </row>
    <row r="23" ht="22.5" customHeight="1">
      <c r="A23" s="10"/>
      <c r="B23" s="31"/>
      <c r="C23" s="34"/>
      <c r="D23" s="9"/>
      <c r="E23" s="10"/>
      <c r="F23" s="10"/>
      <c r="G23" s="9"/>
      <c r="H23" s="10"/>
      <c r="I23" s="33"/>
    </row>
    <row r="24" ht="22.5" customHeight="1">
      <c r="A24" s="10"/>
      <c r="B24" s="31"/>
      <c r="C24" s="32"/>
      <c r="D24" s="9"/>
      <c r="E24" s="10"/>
      <c r="F24" s="10"/>
      <c r="G24" s="9"/>
      <c r="H24" s="10"/>
      <c r="I24" s="33"/>
    </row>
    <row r="25" ht="22.5" customHeight="1">
      <c r="A25" s="10"/>
      <c r="B25" s="31"/>
      <c r="C25" s="32"/>
      <c r="D25" s="9"/>
      <c r="E25" s="10"/>
      <c r="F25" s="10"/>
      <c r="G25" s="9"/>
      <c r="H25" s="10"/>
      <c r="I25" s="33"/>
    </row>
    <row r="26" ht="22.5" customHeight="1">
      <c r="A26" s="10"/>
      <c r="B26" s="31"/>
      <c r="C26" s="32"/>
      <c r="D26" s="9"/>
      <c r="E26" s="10"/>
      <c r="F26" s="10"/>
      <c r="G26" s="9"/>
      <c r="H26" s="10"/>
      <c r="I26" s="33"/>
    </row>
    <row r="27" ht="22.5" customHeight="1">
      <c r="A27" s="10"/>
      <c r="B27" s="31"/>
      <c r="C27" s="32"/>
      <c r="D27" s="9"/>
      <c r="E27" s="10"/>
      <c r="F27" s="10"/>
      <c r="G27" s="9"/>
      <c r="H27" s="10"/>
      <c r="I27" s="33"/>
    </row>
    <row r="28" ht="22.5" customHeight="1">
      <c r="B28" s="7"/>
      <c r="C28" s="34"/>
      <c r="D28" s="6"/>
      <c r="G28" s="6"/>
      <c r="I28" s="6"/>
    </row>
    <row r="29" ht="22.5" customHeight="1">
      <c r="B29" s="7"/>
      <c r="C29" s="34"/>
      <c r="D29" s="6"/>
      <c r="G29" s="6"/>
      <c r="I29" s="6"/>
    </row>
    <row r="30" ht="22.5" customHeight="1">
      <c r="A30" s="10"/>
      <c r="B30" s="31"/>
      <c r="C30" s="34"/>
      <c r="D30" s="9"/>
      <c r="E30" s="10"/>
      <c r="F30" s="10"/>
      <c r="G30" s="9"/>
      <c r="H30" s="10"/>
      <c r="I30" s="33"/>
    </row>
    <row r="31" ht="22.5" customHeight="1">
      <c r="A31" s="10"/>
      <c r="B31" s="31"/>
      <c r="C31" s="32"/>
      <c r="D31" s="9"/>
      <c r="E31" s="10"/>
      <c r="F31" s="10"/>
      <c r="G31" s="9"/>
      <c r="H31" s="10"/>
      <c r="I31" s="33"/>
    </row>
    <row r="32" ht="22.5" customHeight="1">
      <c r="A32" s="10"/>
      <c r="B32" s="31"/>
      <c r="C32" s="32"/>
      <c r="D32" s="9"/>
      <c r="E32" s="10"/>
      <c r="F32" s="10"/>
      <c r="G32" s="9"/>
      <c r="H32" s="10"/>
      <c r="I32" s="33"/>
    </row>
    <row r="33" ht="22.5" customHeight="1">
      <c r="A33" s="10"/>
      <c r="B33" s="31"/>
      <c r="C33" s="34"/>
      <c r="D33" s="9"/>
      <c r="E33" s="10"/>
      <c r="F33" s="10"/>
      <c r="G33" s="9"/>
      <c r="H33" s="10"/>
      <c r="I33" s="33"/>
    </row>
    <row r="34" ht="22.5" customHeight="1">
      <c r="A34" s="10"/>
      <c r="B34" s="31"/>
      <c r="C34" s="32"/>
      <c r="D34" s="9"/>
      <c r="E34" s="10"/>
      <c r="F34" s="10"/>
      <c r="G34" s="9"/>
      <c r="H34" s="10"/>
      <c r="I34" s="33"/>
    </row>
    <row r="35" ht="22.5" customHeight="1">
      <c r="B35" s="7"/>
      <c r="C35" s="34"/>
      <c r="D35" s="6"/>
      <c r="G35" s="6"/>
      <c r="I35" s="6"/>
    </row>
    <row r="36" ht="22.5" customHeight="1">
      <c r="B36" s="7"/>
      <c r="C36" s="34"/>
      <c r="D36" s="6"/>
      <c r="G36" s="6"/>
      <c r="I36" s="6"/>
    </row>
    <row r="37" ht="22.5" customHeight="1">
      <c r="A37" s="10"/>
      <c r="B37" s="31"/>
      <c r="C37" s="32"/>
      <c r="D37" s="9"/>
      <c r="E37" s="10"/>
      <c r="F37" s="10"/>
      <c r="G37" s="9"/>
      <c r="H37" s="10"/>
      <c r="I37" s="33"/>
    </row>
    <row r="38" ht="22.5" customHeight="1">
      <c r="A38" s="10"/>
      <c r="B38" s="31"/>
      <c r="C38" s="34"/>
      <c r="D38" s="9"/>
      <c r="E38" s="10"/>
      <c r="F38" s="10"/>
      <c r="G38" s="9"/>
      <c r="H38" s="10"/>
      <c r="I38" s="33"/>
    </row>
    <row r="39" ht="22.5" customHeight="1">
      <c r="A39" s="10"/>
      <c r="B39" s="31"/>
      <c r="C39" s="34"/>
      <c r="D39" s="9"/>
      <c r="E39" s="10"/>
      <c r="F39" s="10"/>
      <c r="G39" s="9"/>
      <c r="H39" s="10"/>
      <c r="I39" s="33"/>
    </row>
    <row r="40" ht="22.5" customHeight="1">
      <c r="A40" s="10"/>
      <c r="B40" s="31"/>
      <c r="C40" s="32"/>
      <c r="D40" s="9"/>
      <c r="E40" s="10"/>
      <c r="F40" s="10"/>
      <c r="G40" s="9"/>
      <c r="H40" s="10"/>
      <c r="I40" s="33"/>
    </row>
    <row r="41" ht="22.5" customHeight="1">
      <c r="A41" s="10"/>
      <c r="B41" s="31"/>
      <c r="C41" s="32"/>
      <c r="D41" s="9"/>
      <c r="E41" s="10"/>
      <c r="F41" s="10"/>
      <c r="G41" s="9"/>
      <c r="H41" s="10"/>
      <c r="I41" s="33"/>
    </row>
    <row r="42" ht="22.5" customHeight="1">
      <c r="A42" s="10"/>
      <c r="B42" s="31"/>
      <c r="C42" s="34"/>
      <c r="D42" s="9"/>
      <c r="E42" s="10"/>
      <c r="F42" s="10"/>
      <c r="G42" s="9"/>
      <c r="H42" s="10"/>
      <c r="I42" s="33"/>
    </row>
    <row r="43" ht="22.5" customHeight="1">
      <c r="A43" s="10"/>
      <c r="B43" s="31"/>
      <c r="C43" s="34"/>
      <c r="D43" s="9"/>
      <c r="E43" s="10"/>
      <c r="F43" s="10"/>
      <c r="G43" s="9"/>
      <c r="H43" s="10"/>
      <c r="I43" s="33"/>
    </row>
    <row r="44" ht="22.5" customHeight="1">
      <c r="A44" s="10"/>
      <c r="B44" s="31"/>
      <c r="C44" s="34"/>
      <c r="D44" s="9"/>
      <c r="E44" s="10"/>
      <c r="F44" s="10"/>
      <c r="G44" s="9"/>
      <c r="H44" s="10"/>
      <c r="I44" s="33"/>
    </row>
    <row r="45" ht="22.5" customHeight="1">
      <c r="B45" s="7"/>
      <c r="C45" s="35"/>
      <c r="D45" s="6"/>
      <c r="F45" s="36"/>
      <c r="G45" s="6"/>
      <c r="I45" s="6"/>
    </row>
    <row r="46" ht="22.5" customHeight="1">
      <c r="B46" s="7"/>
      <c r="C46" s="35"/>
      <c r="D46" s="6"/>
      <c r="F46" s="36"/>
      <c r="G46" s="6"/>
      <c r="I46" s="6"/>
    </row>
    <row r="47" ht="22.5" customHeight="1">
      <c r="B47" s="7"/>
      <c r="C47" s="34"/>
      <c r="D47" s="6"/>
      <c r="G47" s="6"/>
      <c r="I47" s="6"/>
    </row>
    <row r="48" ht="22.5" customHeight="1">
      <c r="A48" s="10"/>
      <c r="B48" s="31"/>
      <c r="C48" s="34"/>
      <c r="D48" s="9"/>
      <c r="E48" s="10"/>
      <c r="F48" s="10"/>
      <c r="G48" s="9"/>
      <c r="H48" s="10"/>
      <c r="I48" s="33"/>
    </row>
    <row r="49" ht="22.5" customHeight="1">
      <c r="A49" s="10"/>
      <c r="B49" s="31"/>
      <c r="C49" s="34"/>
      <c r="D49" s="9"/>
      <c r="E49" s="10"/>
      <c r="F49" s="10"/>
      <c r="G49" s="9"/>
      <c r="H49" s="10"/>
      <c r="I49" s="33"/>
    </row>
    <row r="50" ht="22.5" customHeight="1">
      <c r="A50" s="10"/>
      <c r="B50" s="31"/>
      <c r="C50" s="32"/>
      <c r="D50" s="9"/>
      <c r="E50" s="10"/>
      <c r="F50" s="10"/>
      <c r="G50" s="9"/>
      <c r="H50" s="10"/>
      <c r="I50" s="33"/>
    </row>
    <row r="51" ht="22.5" customHeight="1">
      <c r="A51" s="10"/>
      <c r="B51" s="31"/>
      <c r="C51" s="34"/>
      <c r="D51" s="9"/>
      <c r="E51" s="10"/>
      <c r="F51" s="10"/>
      <c r="G51" s="9"/>
      <c r="H51" s="10"/>
      <c r="I51" s="33"/>
    </row>
    <row r="52" ht="22.5" customHeight="1">
      <c r="A52" s="10"/>
      <c r="B52" s="31"/>
      <c r="C52" s="34"/>
      <c r="D52" s="9"/>
      <c r="E52" s="10"/>
      <c r="F52" s="10"/>
      <c r="G52" s="9"/>
      <c r="H52" s="10"/>
      <c r="I52" s="33"/>
    </row>
    <row r="53" ht="22.5" customHeight="1">
      <c r="A53" s="10"/>
      <c r="B53" s="31"/>
      <c r="C53" s="32"/>
      <c r="D53" s="9"/>
      <c r="E53" s="10"/>
      <c r="F53" s="10"/>
      <c r="G53" s="9"/>
      <c r="H53" s="10"/>
      <c r="I53" s="33"/>
    </row>
    <row r="54" ht="22.5" customHeight="1">
      <c r="B54" s="7"/>
      <c r="C54" s="34"/>
      <c r="D54" s="6"/>
      <c r="G54" s="6"/>
      <c r="I54" s="6"/>
    </row>
    <row r="55" ht="22.5" customHeight="1">
      <c r="A55" s="10"/>
      <c r="B55" s="31"/>
      <c r="C55" s="34"/>
      <c r="D55" s="9"/>
      <c r="E55" s="10"/>
      <c r="F55" s="10"/>
      <c r="G55" s="9"/>
      <c r="H55" s="10"/>
      <c r="I55" s="33"/>
    </row>
    <row r="56" ht="22.5" customHeight="1">
      <c r="B56" s="7"/>
      <c r="C56" s="34"/>
      <c r="D56" s="6"/>
      <c r="G56" s="6"/>
      <c r="I56" s="6"/>
    </row>
    <row r="57" ht="22.5" customHeight="1">
      <c r="B57" s="7"/>
      <c r="C57" s="34"/>
      <c r="D57" s="6"/>
      <c r="G57" s="6"/>
      <c r="I57" s="6"/>
    </row>
    <row r="58" ht="22.5" customHeight="1">
      <c r="A58" s="10"/>
      <c r="B58" s="31"/>
      <c r="C58" s="32"/>
      <c r="D58" s="9"/>
      <c r="E58" s="10"/>
      <c r="F58" s="10"/>
      <c r="G58" s="9"/>
      <c r="H58" s="10"/>
      <c r="I58" s="33"/>
    </row>
    <row r="59" ht="22.5" customHeight="1">
      <c r="B59" s="7"/>
      <c r="C59" s="37"/>
      <c r="D59" s="6"/>
      <c r="G59" s="6"/>
      <c r="I59" s="6"/>
    </row>
    <row r="60" ht="22.5" customHeight="1">
      <c r="A60" s="10"/>
      <c r="B60" s="31"/>
      <c r="C60" s="34"/>
      <c r="D60" s="9"/>
      <c r="E60" s="10"/>
      <c r="F60" s="10"/>
      <c r="G60" s="9"/>
      <c r="H60" s="10"/>
      <c r="I60" s="33"/>
    </row>
    <row r="61" ht="22.5" customHeight="1">
      <c r="A61" s="10"/>
      <c r="B61" s="31"/>
      <c r="C61" s="34"/>
      <c r="D61" s="9"/>
      <c r="E61" s="10"/>
      <c r="F61" s="10"/>
      <c r="G61" s="9"/>
      <c r="H61" s="10"/>
      <c r="I61" s="33"/>
    </row>
    <row r="62" ht="22.5" customHeight="1">
      <c r="A62" s="10"/>
      <c r="B62" s="31"/>
      <c r="C62" s="34"/>
      <c r="D62" s="9"/>
      <c r="E62" s="10"/>
      <c r="F62" s="10"/>
      <c r="G62" s="9"/>
      <c r="H62" s="10"/>
      <c r="I62" s="33"/>
    </row>
    <row r="63" ht="22.5" customHeight="1">
      <c r="A63" s="10"/>
      <c r="B63" s="31"/>
      <c r="C63" s="34"/>
      <c r="D63" s="9"/>
      <c r="E63" s="10"/>
      <c r="F63" s="10"/>
      <c r="G63" s="9"/>
      <c r="H63" s="10"/>
      <c r="I63" s="33"/>
    </row>
    <row r="64" ht="22.5" customHeight="1">
      <c r="A64" s="10"/>
      <c r="B64" s="31"/>
      <c r="C64" s="32"/>
      <c r="D64" s="9"/>
      <c r="E64" s="10"/>
      <c r="F64" s="10"/>
      <c r="G64" s="9"/>
      <c r="H64" s="10"/>
      <c r="I64" s="33"/>
    </row>
    <row r="65" ht="22.5" customHeight="1">
      <c r="A65" s="10"/>
      <c r="B65" s="31"/>
      <c r="C65" s="34"/>
      <c r="D65" s="9"/>
      <c r="E65" s="10"/>
      <c r="F65" s="10"/>
      <c r="G65" s="9"/>
      <c r="H65" s="10"/>
      <c r="I65" s="33"/>
    </row>
    <row r="66" ht="22.5" customHeight="1">
      <c r="A66" s="10"/>
      <c r="B66" s="31"/>
      <c r="C66" s="34"/>
      <c r="D66" s="9"/>
      <c r="E66" s="10"/>
      <c r="F66" s="10"/>
      <c r="G66" s="9"/>
      <c r="H66" s="10"/>
      <c r="I66" s="33"/>
    </row>
    <row r="67" ht="22.5" customHeight="1">
      <c r="A67" s="10"/>
      <c r="B67" s="31"/>
      <c r="C67" s="32"/>
      <c r="D67" s="9"/>
      <c r="E67" s="10"/>
      <c r="F67" s="10"/>
      <c r="G67" s="9"/>
      <c r="H67" s="10"/>
      <c r="I67" s="33"/>
    </row>
    <row r="68" ht="22.5" customHeight="1">
      <c r="A68" s="10"/>
      <c r="B68" s="31"/>
      <c r="C68" s="34"/>
      <c r="D68" s="9"/>
      <c r="E68" s="10"/>
      <c r="F68" s="10"/>
      <c r="G68" s="9"/>
      <c r="H68" s="10"/>
      <c r="I68" s="33"/>
    </row>
    <row r="69" ht="22.5" customHeight="1">
      <c r="B69" s="7"/>
      <c r="C69" s="34"/>
      <c r="D69" s="6"/>
      <c r="G69" s="6"/>
      <c r="I69" s="6"/>
    </row>
    <row r="70" ht="22.5" customHeight="1">
      <c r="A70" s="10"/>
      <c r="B70" s="31"/>
      <c r="C70" s="34"/>
      <c r="D70" s="9"/>
      <c r="E70" s="10"/>
      <c r="F70" s="10"/>
      <c r="G70" s="9"/>
      <c r="H70" s="10"/>
      <c r="I70" s="33"/>
    </row>
    <row r="71" ht="22.5" customHeight="1">
      <c r="A71" s="10"/>
      <c r="B71" s="31"/>
      <c r="C71" s="34"/>
      <c r="D71" s="9"/>
      <c r="E71" s="10"/>
      <c r="F71" s="10"/>
      <c r="G71" s="9"/>
      <c r="H71" s="10"/>
      <c r="I71" s="33"/>
    </row>
    <row r="72" ht="22.5" customHeight="1">
      <c r="A72" s="10"/>
      <c r="B72" s="31"/>
      <c r="C72" s="34"/>
      <c r="D72" s="9"/>
      <c r="E72" s="10"/>
      <c r="F72" s="10"/>
      <c r="G72" s="9"/>
      <c r="H72" s="10"/>
      <c r="I72" s="33"/>
    </row>
    <row r="73" ht="22.5" customHeight="1">
      <c r="A73" s="10"/>
      <c r="B73" s="31"/>
      <c r="C73" s="32"/>
      <c r="D73" s="9"/>
      <c r="E73" s="10"/>
      <c r="F73" s="10"/>
      <c r="G73" s="9"/>
      <c r="H73" s="10"/>
      <c r="I73" s="33"/>
    </row>
    <row r="74" ht="22.5" customHeight="1">
      <c r="A74" s="10"/>
      <c r="B74" s="31"/>
      <c r="C74" s="34"/>
      <c r="D74" s="9"/>
      <c r="E74" s="10"/>
      <c r="F74" s="10"/>
      <c r="G74" s="9"/>
      <c r="H74" s="10"/>
      <c r="I74" s="33"/>
    </row>
    <row r="75" ht="22.5" customHeight="1">
      <c r="B75" s="7"/>
      <c r="C75" s="34"/>
      <c r="D75" s="6"/>
      <c r="G75" s="6"/>
      <c r="I75" s="6"/>
    </row>
    <row r="76" ht="22.5" customHeight="1">
      <c r="A76" s="10"/>
      <c r="B76" s="31"/>
      <c r="C76" s="34"/>
      <c r="D76" s="9"/>
      <c r="E76" s="10"/>
      <c r="F76" s="10"/>
      <c r="G76" s="9"/>
      <c r="H76" s="10"/>
      <c r="I76" s="33"/>
    </row>
    <row r="77" ht="22.5" customHeight="1">
      <c r="A77" s="10"/>
      <c r="B77" s="31"/>
      <c r="C77" s="34"/>
      <c r="D77" s="9"/>
      <c r="E77" s="10"/>
      <c r="F77" s="10"/>
      <c r="G77" s="9"/>
      <c r="H77" s="10"/>
      <c r="I77" s="33"/>
    </row>
    <row r="78" ht="22.5" customHeight="1">
      <c r="B78" s="7"/>
      <c r="C78" s="34"/>
      <c r="D78" s="6"/>
      <c r="G78" s="6"/>
      <c r="I78" s="6"/>
    </row>
    <row r="79" ht="22.5" customHeight="1">
      <c r="A79" s="10"/>
      <c r="B79" s="31"/>
      <c r="C79" s="34"/>
      <c r="D79" s="9"/>
      <c r="E79" s="10"/>
      <c r="F79" s="10"/>
      <c r="G79" s="9"/>
      <c r="H79" s="10"/>
      <c r="I79" s="33"/>
    </row>
    <row r="80" ht="22.5" customHeight="1">
      <c r="A80" s="10"/>
      <c r="B80" s="31"/>
      <c r="C80" s="34"/>
      <c r="D80" s="9"/>
      <c r="E80" s="10"/>
      <c r="F80" s="10"/>
      <c r="G80" s="9"/>
      <c r="H80" s="10"/>
      <c r="I80" s="33"/>
    </row>
    <row r="81" ht="22.5" customHeight="1">
      <c r="A81" s="10"/>
      <c r="B81" s="31"/>
      <c r="C81" s="34"/>
      <c r="D81" s="9"/>
      <c r="E81" s="10"/>
      <c r="F81" s="10"/>
      <c r="G81" s="9"/>
      <c r="H81" s="10"/>
      <c r="I81" s="33"/>
    </row>
    <row r="82" ht="22.5" customHeight="1">
      <c r="A82" s="10"/>
      <c r="B82" s="31"/>
      <c r="C82" s="34"/>
      <c r="D82" s="9"/>
      <c r="E82" s="10"/>
      <c r="F82" s="10"/>
      <c r="G82" s="9"/>
      <c r="H82" s="10"/>
      <c r="I82" s="33"/>
    </row>
    <row r="83" ht="22.5" customHeight="1">
      <c r="A83" s="10"/>
      <c r="B83" s="31"/>
      <c r="C83" s="34"/>
      <c r="D83" s="9"/>
      <c r="E83" s="10"/>
      <c r="F83" s="10"/>
      <c r="G83" s="9"/>
      <c r="H83" s="10"/>
      <c r="I83" s="33"/>
    </row>
    <row r="84" ht="22.5" customHeight="1">
      <c r="A84" s="10"/>
      <c r="B84" s="31"/>
      <c r="C84" s="34"/>
      <c r="D84" s="9"/>
      <c r="E84" s="10"/>
      <c r="F84" s="10"/>
      <c r="G84" s="9"/>
      <c r="H84" s="10"/>
      <c r="I84" s="33"/>
    </row>
    <row r="85" ht="22.5" customHeight="1">
      <c r="A85" s="10"/>
      <c r="B85" s="31"/>
      <c r="C85" s="34"/>
      <c r="D85" s="9"/>
      <c r="E85" s="10"/>
      <c r="F85" s="10"/>
      <c r="G85" s="9"/>
      <c r="H85" s="10"/>
      <c r="I85" s="33"/>
    </row>
    <row r="86" ht="22.5" customHeight="1">
      <c r="B86" s="7"/>
      <c r="C86" s="34"/>
      <c r="D86" s="6"/>
      <c r="G86" s="6"/>
      <c r="I86" s="6"/>
    </row>
    <row r="87" ht="22.5" customHeight="1">
      <c r="B87" s="7"/>
      <c r="C87" s="34"/>
      <c r="D87" s="6"/>
      <c r="G87" s="6"/>
      <c r="I87" s="6"/>
    </row>
    <row r="88" ht="22.5" customHeight="1">
      <c r="B88" s="7"/>
      <c r="C88" s="34"/>
      <c r="D88" s="6"/>
      <c r="G88" s="6"/>
      <c r="I88" s="6"/>
    </row>
    <row r="89" ht="22.5" customHeight="1">
      <c r="A89" s="10"/>
      <c r="B89" s="31"/>
      <c r="C89" s="32"/>
      <c r="D89" s="9"/>
      <c r="E89" s="10"/>
      <c r="F89" s="10"/>
      <c r="G89" s="9"/>
      <c r="H89" s="10"/>
      <c r="I89" s="33"/>
    </row>
    <row r="90" ht="22.5" customHeight="1">
      <c r="A90" s="10"/>
      <c r="B90" s="31"/>
      <c r="C90" s="32"/>
      <c r="D90" s="9"/>
      <c r="E90" s="10"/>
      <c r="F90" s="10"/>
      <c r="G90" s="9"/>
      <c r="H90" s="10"/>
      <c r="I90" s="33"/>
    </row>
    <row r="91" ht="22.5" customHeight="1">
      <c r="A91" s="10"/>
      <c r="B91" s="31"/>
      <c r="C91" s="34"/>
      <c r="D91" s="9"/>
      <c r="E91" s="10"/>
      <c r="F91" s="10"/>
      <c r="G91" s="9"/>
      <c r="H91" s="10"/>
      <c r="I91" s="33"/>
    </row>
    <row r="92" ht="22.5" customHeight="1">
      <c r="B92" s="7"/>
      <c r="C92" s="34"/>
      <c r="D92" s="6"/>
      <c r="G92" s="6"/>
      <c r="I92" s="6"/>
    </row>
    <row r="93" ht="22.5" customHeight="1">
      <c r="A93" s="10"/>
      <c r="B93" s="31"/>
      <c r="C93" s="34"/>
      <c r="D93" s="9"/>
      <c r="E93" s="10"/>
      <c r="F93" s="10"/>
      <c r="G93" s="9"/>
      <c r="H93" s="10"/>
      <c r="I93" s="33"/>
    </row>
    <row r="94" ht="22.5" customHeight="1">
      <c r="A94" s="10"/>
      <c r="B94" s="31"/>
      <c r="C94" s="34"/>
      <c r="D94" s="9"/>
      <c r="E94" s="10"/>
      <c r="F94" s="10"/>
      <c r="G94" s="9"/>
      <c r="H94" s="10"/>
      <c r="I94" s="33"/>
    </row>
    <row r="95" ht="22.5" customHeight="1">
      <c r="A95" s="10"/>
      <c r="B95" s="31"/>
      <c r="C95" s="32"/>
      <c r="D95" s="9"/>
      <c r="E95" s="10"/>
      <c r="F95" s="10"/>
      <c r="G95" s="9"/>
      <c r="H95" s="10"/>
      <c r="I95" s="33"/>
    </row>
    <row r="96" ht="22.5" customHeight="1">
      <c r="B96" s="7"/>
      <c r="C96" s="34"/>
      <c r="D96" s="6"/>
      <c r="G96" s="6"/>
      <c r="I96" s="6"/>
    </row>
    <row r="97" ht="22.5" customHeight="1">
      <c r="A97" s="10"/>
      <c r="B97" s="31"/>
      <c r="C97" s="32"/>
      <c r="D97" s="9"/>
      <c r="E97" s="10"/>
      <c r="F97" s="10"/>
      <c r="G97" s="9"/>
      <c r="H97" s="10"/>
      <c r="I97" s="33"/>
    </row>
    <row r="98" ht="22.5" customHeight="1">
      <c r="A98" s="10"/>
      <c r="B98" s="31"/>
      <c r="C98" s="32"/>
      <c r="D98" s="9"/>
      <c r="E98" s="10"/>
      <c r="F98" s="10"/>
      <c r="G98" s="9"/>
      <c r="H98" s="10"/>
      <c r="I98" s="33"/>
    </row>
    <row r="99" ht="22.5" customHeight="1">
      <c r="A99" s="10"/>
      <c r="B99" s="31"/>
      <c r="C99" s="34"/>
      <c r="D99" s="9"/>
      <c r="E99" s="10"/>
      <c r="F99" s="10"/>
      <c r="G99" s="9"/>
      <c r="H99" s="10"/>
      <c r="I99" s="33"/>
    </row>
    <row r="100" ht="22.5" customHeight="1">
      <c r="A100" s="10"/>
      <c r="B100" s="31"/>
      <c r="C100" s="34"/>
      <c r="D100" s="9"/>
      <c r="E100" s="10"/>
      <c r="F100" s="10"/>
      <c r="G100" s="9"/>
      <c r="H100" s="10"/>
      <c r="I100" s="33"/>
    </row>
    <row r="101" ht="22.5" customHeight="1">
      <c r="A101" s="10"/>
      <c r="B101" s="31"/>
      <c r="C101" s="32"/>
      <c r="D101" s="9"/>
      <c r="E101" s="10"/>
      <c r="F101" s="10"/>
      <c r="G101" s="9"/>
      <c r="H101" s="10"/>
      <c r="I101" s="33"/>
    </row>
    <row r="102" ht="22.5" customHeight="1">
      <c r="A102" s="10"/>
      <c r="B102" s="31"/>
      <c r="C102" s="34"/>
      <c r="D102" s="9"/>
      <c r="E102" s="10"/>
      <c r="F102" s="10"/>
      <c r="G102" s="9"/>
      <c r="H102" s="10"/>
      <c r="I102" s="33"/>
    </row>
    <row r="103" ht="22.5" customHeight="1">
      <c r="B103" s="7"/>
      <c r="C103" s="34"/>
      <c r="D103" s="6"/>
      <c r="G103" s="6"/>
      <c r="I103" s="6"/>
    </row>
    <row r="104" ht="22.5" customHeight="1">
      <c r="A104" s="10"/>
      <c r="B104" s="31"/>
      <c r="C104" s="34"/>
      <c r="D104" s="9"/>
      <c r="E104" s="10"/>
      <c r="F104" s="10"/>
      <c r="G104" s="9"/>
      <c r="H104" s="10"/>
      <c r="I104" s="33"/>
    </row>
    <row r="105" ht="22.5" customHeight="1">
      <c r="A105" s="10"/>
      <c r="B105" s="31"/>
      <c r="C105" s="34"/>
      <c r="D105" s="9"/>
      <c r="E105" s="10"/>
      <c r="F105" s="10"/>
      <c r="G105" s="9"/>
      <c r="H105" s="10"/>
      <c r="I105" s="33"/>
    </row>
    <row r="106" ht="22.5" customHeight="1">
      <c r="B106" s="7"/>
      <c r="C106" s="34"/>
      <c r="D106" s="6"/>
      <c r="G106" s="6"/>
      <c r="I106" s="6"/>
    </row>
    <row r="107" ht="22.5" customHeight="1">
      <c r="A107" s="10"/>
      <c r="B107" s="31"/>
      <c r="C107" s="34"/>
      <c r="D107" s="9"/>
      <c r="E107" s="10"/>
      <c r="F107" s="10"/>
      <c r="G107" s="9"/>
      <c r="H107" s="10"/>
      <c r="I107" s="33"/>
    </row>
    <row r="108" ht="22.5" customHeight="1">
      <c r="A108" s="10"/>
      <c r="B108" s="31"/>
      <c r="C108" s="34"/>
      <c r="D108" s="9"/>
      <c r="E108" s="10"/>
      <c r="F108" s="10"/>
      <c r="G108" s="9"/>
      <c r="H108" s="10"/>
      <c r="I108" s="33"/>
    </row>
    <row r="109" ht="22.5" customHeight="1">
      <c r="A109" s="10"/>
      <c r="B109" s="31"/>
      <c r="C109" s="38"/>
      <c r="D109" s="9"/>
      <c r="E109" s="10"/>
      <c r="F109" s="10"/>
      <c r="G109" s="9"/>
      <c r="H109" s="10"/>
      <c r="I109" s="33"/>
    </row>
    <row r="110" ht="22.5" customHeight="1">
      <c r="A110" s="10"/>
      <c r="B110" s="31"/>
      <c r="C110" s="34"/>
      <c r="D110" s="9"/>
      <c r="E110" s="10"/>
      <c r="F110" s="10"/>
      <c r="G110" s="9"/>
      <c r="H110" s="10"/>
      <c r="I110" s="33"/>
    </row>
    <row r="111" ht="22.5" customHeight="1">
      <c r="A111" s="10"/>
      <c r="B111" s="31"/>
      <c r="C111" s="34"/>
      <c r="D111" s="9"/>
      <c r="E111" s="10"/>
      <c r="F111" s="10"/>
      <c r="G111" s="9"/>
      <c r="H111" s="10"/>
      <c r="I111" s="33"/>
    </row>
    <row r="112" ht="22.5" customHeight="1">
      <c r="A112" s="10"/>
      <c r="B112" s="31"/>
      <c r="C112" s="32"/>
      <c r="D112" s="9"/>
      <c r="E112" s="10"/>
      <c r="F112" s="10"/>
      <c r="G112" s="9"/>
      <c r="H112" s="10"/>
      <c r="I112" s="33"/>
    </row>
    <row r="113" ht="22.5" customHeight="1">
      <c r="A113" s="10"/>
      <c r="B113" s="31"/>
      <c r="C113" s="32"/>
      <c r="D113" s="9"/>
      <c r="E113" s="10"/>
      <c r="F113" s="10"/>
      <c r="G113" s="9"/>
      <c r="H113" s="10"/>
      <c r="I113" s="33"/>
    </row>
    <row r="114" ht="22.5" customHeight="1">
      <c r="A114" s="10"/>
      <c r="B114" s="31"/>
      <c r="C114" s="34"/>
      <c r="D114" s="9"/>
      <c r="E114" s="10"/>
      <c r="F114" s="10"/>
      <c r="G114" s="9"/>
      <c r="H114" s="10"/>
      <c r="I114" s="33"/>
    </row>
    <row r="115" ht="22.5" customHeight="1">
      <c r="A115" s="10"/>
      <c r="B115" s="31"/>
      <c r="C115" s="34"/>
      <c r="D115" s="9"/>
      <c r="E115" s="10"/>
      <c r="F115" s="10"/>
      <c r="G115" s="9"/>
      <c r="H115" s="10"/>
      <c r="I115" s="33"/>
    </row>
    <row r="116" ht="22.5" customHeight="1">
      <c r="A116" s="10"/>
      <c r="B116" s="31"/>
      <c r="C116" s="34"/>
      <c r="D116" s="9"/>
      <c r="E116" s="10"/>
      <c r="F116" s="10"/>
      <c r="G116" s="9"/>
      <c r="H116" s="10"/>
      <c r="I116" s="33"/>
    </row>
    <row r="117" ht="22.5" customHeight="1">
      <c r="A117" s="10"/>
      <c r="B117" s="31"/>
      <c r="C117" s="32"/>
      <c r="D117" s="9"/>
      <c r="E117" s="10"/>
      <c r="F117" s="10"/>
      <c r="G117" s="9"/>
      <c r="H117" s="10"/>
      <c r="I117" s="33"/>
    </row>
    <row r="118" ht="22.5" customHeight="1">
      <c r="A118" s="10"/>
      <c r="B118" s="31"/>
      <c r="C118" s="34"/>
      <c r="D118" s="9"/>
      <c r="E118" s="10"/>
      <c r="F118" s="10"/>
      <c r="G118" s="9"/>
      <c r="H118" s="10"/>
      <c r="I118" s="33"/>
    </row>
    <row r="119" ht="22.5" customHeight="1">
      <c r="B119" s="7"/>
      <c r="C119" s="34"/>
      <c r="D119" s="6"/>
      <c r="G119" s="6"/>
      <c r="I119" s="6"/>
    </row>
    <row r="120" ht="22.5" customHeight="1">
      <c r="A120" s="10"/>
      <c r="B120" s="31"/>
      <c r="C120" s="34"/>
      <c r="D120" s="9"/>
      <c r="E120" s="10"/>
      <c r="F120" s="10"/>
      <c r="G120" s="9"/>
      <c r="H120" s="10"/>
      <c r="I120" s="33"/>
    </row>
    <row r="121" ht="22.5" customHeight="1">
      <c r="A121" s="10"/>
      <c r="B121" s="31"/>
      <c r="C121" s="34"/>
      <c r="D121" s="9"/>
      <c r="E121" s="10"/>
      <c r="F121" s="10"/>
      <c r="G121" s="9"/>
      <c r="H121" s="10"/>
      <c r="I121" s="33"/>
    </row>
    <row r="122" ht="22.5" customHeight="1">
      <c r="A122" s="10"/>
      <c r="B122" s="31"/>
      <c r="C122" s="32"/>
      <c r="D122" s="9"/>
      <c r="E122" s="10"/>
      <c r="F122" s="10"/>
      <c r="G122" s="9"/>
      <c r="H122" s="10"/>
      <c r="I122" s="33"/>
    </row>
    <row r="123" ht="22.5" customHeight="1">
      <c r="A123" s="10"/>
      <c r="B123" s="31"/>
      <c r="C123" s="34"/>
      <c r="D123" s="9"/>
      <c r="E123" s="10"/>
      <c r="F123" s="10"/>
      <c r="G123" s="9"/>
      <c r="H123" s="10"/>
      <c r="I123" s="33"/>
    </row>
    <row r="124" ht="22.5" customHeight="1">
      <c r="A124" s="10"/>
      <c r="B124" s="31"/>
      <c r="C124" s="32"/>
      <c r="D124" s="9"/>
      <c r="E124" s="10"/>
      <c r="F124" s="10"/>
      <c r="G124" s="9"/>
      <c r="H124" s="10"/>
      <c r="I124" s="33"/>
    </row>
    <row r="125" ht="22.5" customHeight="1">
      <c r="A125" s="10"/>
      <c r="B125" s="31"/>
      <c r="C125" s="32"/>
      <c r="D125" s="9"/>
      <c r="E125" s="10"/>
      <c r="F125" s="10"/>
      <c r="G125" s="9"/>
      <c r="H125" s="10"/>
      <c r="I125" s="33"/>
    </row>
    <row r="126" ht="22.5" customHeight="1">
      <c r="B126" s="7"/>
      <c r="C126" s="39"/>
      <c r="D126" s="6"/>
      <c r="G126" s="6"/>
      <c r="I126" s="6"/>
    </row>
    <row r="127" ht="22.5" customHeight="1">
      <c r="B127" s="7"/>
      <c r="C127" s="40"/>
      <c r="D127" s="6"/>
      <c r="G127" s="6"/>
      <c r="I127" s="6"/>
    </row>
    <row r="128" ht="22.5" customHeight="1">
      <c r="B128" s="7"/>
      <c r="C128" s="34"/>
      <c r="D128" s="6"/>
      <c r="G128" s="6"/>
      <c r="I128" s="6"/>
    </row>
    <row r="129" ht="22.5" customHeight="1">
      <c r="B129" s="7"/>
      <c r="C129" s="34"/>
      <c r="D129" s="6"/>
      <c r="G129" s="6"/>
      <c r="I129" s="6"/>
    </row>
    <row r="130" ht="22.5" customHeight="1">
      <c r="A130" s="10"/>
      <c r="B130" s="31"/>
      <c r="C130" s="34"/>
      <c r="D130" s="9"/>
      <c r="E130" s="10"/>
      <c r="F130" s="10"/>
      <c r="G130" s="9"/>
      <c r="H130" s="10"/>
      <c r="I130" s="33"/>
    </row>
    <row r="131" ht="22.5" customHeight="1">
      <c r="A131" s="10"/>
      <c r="B131" s="31"/>
      <c r="C131" s="34"/>
      <c r="D131" s="9"/>
      <c r="E131" s="10"/>
      <c r="F131" s="10"/>
      <c r="G131" s="9"/>
      <c r="H131" s="10"/>
      <c r="I131" s="33"/>
    </row>
    <row r="132" ht="22.5" customHeight="1">
      <c r="A132" s="10"/>
      <c r="B132" s="31"/>
      <c r="C132" s="34"/>
      <c r="D132" s="9"/>
      <c r="E132" s="10"/>
      <c r="F132" s="10"/>
      <c r="G132" s="9"/>
      <c r="H132" s="10"/>
      <c r="I132" s="33"/>
    </row>
    <row r="133" ht="22.5" customHeight="1">
      <c r="A133" s="10"/>
      <c r="B133" s="31"/>
      <c r="C133" s="34"/>
      <c r="D133" s="9"/>
      <c r="E133" s="10"/>
      <c r="F133" s="10"/>
      <c r="G133" s="9"/>
      <c r="H133" s="10"/>
      <c r="I133" s="33"/>
    </row>
    <row r="134" ht="22.5" customHeight="1">
      <c r="A134" s="10"/>
      <c r="B134" s="31"/>
      <c r="C134" s="34"/>
      <c r="D134" s="9"/>
      <c r="E134" s="10"/>
      <c r="F134" s="10"/>
      <c r="G134" s="9"/>
      <c r="H134" s="10"/>
      <c r="I134" s="33"/>
    </row>
    <row r="135" ht="22.5" customHeight="1">
      <c r="A135" s="10"/>
      <c r="B135" s="31"/>
      <c r="C135" s="34"/>
      <c r="D135" s="9"/>
      <c r="E135" s="10"/>
      <c r="F135" s="10"/>
      <c r="G135" s="9"/>
      <c r="H135" s="10"/>
      <c r="I135" s="33"/>
    </row>
    <row r="136" ht="22.5" customHeight="1">
      <c r="A136" s="10"/>
      <c r="B136" s="31"/>
      <c r="C136" s="34"/>
      <c r="D136" s="9"/>
      <c r="E136" s="10"/>
      <c r="F136" s="10"/>
      <c r="G136" s="9"/>
      <c r="H136" s="10"/>
      <c r="I136" s="33"/>
    </row>
    <row r="137" ht="22.5" customHeight="1">
      <c r="A137" s="10"/>
      <c r="B137" s="31"/>
      <c r="C137" s="34"/>
      <c r="D137" s="9"/>
      <c r="E137" s="10"/>
      <c r="F137" s="10"/>
      <c r="G137" s="9"/>
      <c r="H137" s="10"/>
      <c r="I137" s="33"/>
    </row>
    <row r="138" ht="22.5" customHeight="1">
      <c r="A138" s="10"/>
      <c r="B138" s="31"/>
      <c r="C138" s="34"/>
      <c r="D138" s="9"/>
      <c r="E138" s="10"/>
      <c r="F138" s="10"/>
      <c r="G138" s="9"/>
      <c r="H138" s="10"/>
      <c r="I138" s="33"/>
    </row>
    <row r="139" ht="22.5" customHeight="1">
      <c r="A139" s="10"/>
      <c r="B139" s="31"/>
      <c r="C139" s="34"/>
      <c r="D139" s="9"/>
      <c r="E139" s="10"/>
      <c r="F139" s="10"/>
      <c r="G139" s="9"/>
      <c r="H139" s="10"/>
      <c r="I139" s="33"/>
    </row>
    <row r="140" ht="22.5" customHeight="1">
      <c r="A140" s="10"/>
      <c r="B140" s="31"/>
      <c r="C140" s="34"/>
      <c r="D140" s="9"/>
      <c r="E140" s="10"/>
      <c r="F140" s="10"/>
      <c r="G140" s="9"/>
      <c r="H140" s="10"/>
      <c r="I140" s="33"/>
    </row>
    <row r="141" ht="22.5" customHeight="1">
      <c r="A141" s="10"/>
      <c r="B141" s="31"/>
      <c r="C141" s="32"/>
      <c r="D141" s="9"/>
      <c r="E141" s="10"/>
      <c r="F141" s="10"/>
      <c r="G141" s="9"/>
      <c r="H141" s="10"/>
      <c r="I141" s="33"/>
    </row>
    <row r="142" ht="22.5" customHeight="1">
      <c r="A142" s="10"/>
      <c r="B142" s="31"/>
      <c r="C142" s="32"/>
      <c r="D142" s="9"/>
      <c r="E142" s="10"/>
      <c r="F142" s="10"/>
      <c r="G142" s="9"/>
      <c r="H142" s="10"/>
      <c r="I142" s="33"/>
    </row>
    <row r="143" ht="22.5" customHeight="1">
      <c r="A143" s="10"/>
      <c r="B143" s="31"/>
      <c r="C143" s="38"/>
      <c r="D143" s="9"/>
      <c r="E143" s="10"/>
      <c r="F143" s="10"/>
      <c r="G143" s="9"/>
      <c r="H143" s="10"/>
      <c r="I143" s="33"/>
    </row>
    <row r="144" ht="22.5" customHeight="1">
      <c r="A144" s="10"/>
      <c r="B144" s="31"/>
      <c r="C144" s="38"/>
      <c r="D144" s="9"/>
      <c r="E144" s="10"/>
      <c r="F144" s="10"/>
      <c r="G144" s="9"/>
      <c r="H144" s="10"/>
      <c r="I144" s="33"/>
    </row>
    <row r="145" ht="22.5" customHeight="1">
      <c r="A145" s="10"/>
      <c r="B145" s="31"/>
      <c r="C145" s="38"/>
      <c r="D145" s="9"/>
      <c r="E145" s="10"/>
      <c r="F145" s="10"/>
      <c r="G145" s="9"/>
      <c r="H145" s="10"/>
      <c r="I145" s="33"/>
    </row>
    <row r="146" ht="22.5" customHeight="1">
      <c r="A146" s="10"/>
      <c r="B146" s="31"/>
      <c r="C146" s="38"/>
      <c r="D146" s="9"/>
      <c r="E146" s="10"/>
      <c r="F146" s="10"/>
      <c r="G146" s="9"/>
      <c r="H146" s="10"/>
      <c r="I146" s="21" t="b">
        <v>0</v>
      </c>
    </row>
    <row r="147" ht="22.5" customHeight="1">
      <c r="A147" s="10"/>
      <c r="B147" s="31"/>
      <c r="C147" s="38"/>
      <c r="D147" s="9"/>
      <c r="E147" s="10"/>
      <c r="F147" s="10"/>
      <c r="G147" s="9"/>
      <c r="H147" s="10"/>
      <c r="I147" s="21" t="b">
        <v>0</v>
      </c>
    </row>
    <row r="148" ht="22.5" customHeight="1">
      <c r="A148" s="10"/>
      <c r="B148" s="31"/>
      <c r="C148" s="38"/>
      <c r="D148" s="9"/>
      <c r="E148" s="10"/>
      <c r="F148" s="10"/>
      <c r="G148" s="9"/>
      <c r="H148" s="10"/>
      <c r="I148" s="21" t="b">
        <v>0</v>
      </c>
    </row>
    <row r="149" ht="22.5" customHeight="1">
      <c r="A149" s="10"/>
      <c r="B149" s="31"/>
      <c r="C149" s="38"/>
      <c r="D149" s="9"/>
      <c r="E149" s="10"/>
      <c r="F149" s="10"/>
      <c r="G149" s="9"/>
      <c r="H149" s="10"/>
      <c r="I149" s="21" t="b">
        <v>0</v>
      </c>
    </row>
    <row r="150" ht="22.5" customHeight="1">
      <c r="A150" s="10"/>
      <c r="B150" s="31"/>
      <c r="C150" s="38"/>
      <c r="D150" s="9"/>
      <c r="E150" s="10"/>
      <c r="F150" s="10"/>
      <c r="G150" s="9"/>
      <c r="H150" s="10"/>
      <c r="I150" s="21" t="b">
        <v>0</v>
      </c>
    </row>
    <row r="151" ht="22.5" customHeight="1">
      <c r="A151" s="10"/>
      <c r="B151" s="31"/>
      <c r="C151" s="38"/>
      <c r="D151" s="9"/>
      <c r="E151" s="10"/>
      <c r="F151" s="10"/>
      <c r="G151" s="9"/>
      <c r="H151" s="10"/>
      <c r="I151" s="21" t="b">
        <v>0</v>
      </c>
    </row>
    <row r="152" ht="22.5" customHeight="1">
      <c r="A152" s="10"/>
      <c r="B152" s="31"/>
      <c r="C152" s="38"/>
      <c r="D152" s="9"/>
      <c r="E152" s="10"/>
      <c r="F152" s="10"/>
      <c r="G152" s="9"/>
      <c r="H152" s="10"/>
      <c r="I152" s="21" t="b">
        <v>0</v>
      </c>
    </row>
    <row r="153" ht="22.5" customHeight="1">
      <c r="A153" s="10"/>
      <c r="B153" s="31"/>
      <c r="C153" s="38"/>
      <c r="D153" s="9"/>
      <c r="E153" s="10"/>
      <c r="F153" s="10"/>
      <c r="G153" s="9"/>
      <c r="H153" s="10"/>
      <c r="I153" s="21" t="b">
        <v>0</v>
      </c>
    </row>
    <row r="154" ht="22.5" customHeight="1">
      <c r="A154" s="10"/>
      <c r="B154" s="31"/>
      <c r="C154" s="38"/>
      <c r="D154" s="9"/>
      <c r="E154" s="10"/>
      <c r="F154" s="10"/>
      <c r="G154" s="9"/>
      <c r="H154" s="10"/>
      <c r="I154" s="21" t="b">
        <v>0</v>
      </c>
    </row>
    <row r="155" ht="22.5" customHeight="1">
      <c r="A155" s="10"/>
      <c r="B155" s="31"/>
      <c r="C155" s="38"/>
      <c r="D155" s="9"/>
      <c r="E155" s="10"/>
      <c r="F155" s="10"/>
      <c r="G155" s="9"/>
      <c r="H155" s="10"/>
      <c r="I155" s="21" t="b">
        <v>0</v>
      </c>
    </row>
    <row r="156" ht="22.5" customHeight="1">
      <c r="A156" s="10"/>
      <c r="B156" s="31"/>
      <c r="C156" s="38"/>
      <c r="D156" s="9"/>
      <c r="E156" s="10"/>
      <c r="F156" s="10"/>
      <c r="G156" s="9"/>
      <c r="H156" s="10"/>
      <c r="I156" s="21" t="b">
        <v>0</v>
      </c>
    </row>
    <row r="157" ht="22.5" customHeight="1">
      <c r="A157" s="10"/>
      <c r="B157" s="31"/>
      <c r="C157" s="38"/>
      <c r="D157" s="9"/>
      <c r="E157" s="10"/>
      <c r="F157" s="10"/>
      <c r="G157" s="9"/>
      <c r="H157" s="10"/>
      <c r="I157" s="21" t="b">
        <v>0</v>
      </c>
    </row>
    <row r="158" ht="22.5" customHeight="1">
      <c r="A158" s="10"/>
      <c r="B158" s="31"/>
      <c r="C158" s="38"/>
      <c r="D158" s="9"/>
      <c r="E158" s="10"/>
      <c r="F158" s="10"/>
      <c r="G158" s="9"/>
      <c r="H158" s="10"/>
      <c r="I158" s="21" t="b">
        <v>0</v>
      </c>
    </row>
    <row r="159" ht="22.5" customHeight="1">
      <c r="A159" s="10"/>
      <c r="B159" s="31"/>
      <c r="C159" s="38"/>
      <c r="D159" s="9"/>
      <c r="E159" s="10"/>
      <c r="F159" s="10"/>
      <c r="G159" s="9"/>
      <c r="H159" s="10"/>
      <c r="I159" s="21" t="b">
        <v>0</v>
      </c>
    </row>
    <row r="160" ht="22.5" customHeight="1">
      <c r="A160" s="10"/>
      <c r="B160" s="31"/>
      <c r="C160" s="38"/>
      <c r="D160" s="9"/>
      <c r="E160" s="10"/>
      <c r="F160" s="10"/>
      <c r="G160" s="9"/>
      <c r="H160" s="10"/>
      <c r="I160" s="21" t="b">
        <v>0</v>
      </c>
    </row>
    <row r="161" ht="22.5" customHeight="1">
      <c r="A161" s="10"/>
      <c r="B161" s="31"/>
      <c r="C161" s="38"/>
      <c r="D161" s="9"/>
      <c r="E161" s="10"/>
      <c r="F161" s="10"/>
      <c r="G161" s="9"/>
      <c r="H161" s="10"/>
      <c r="I161" s="21" t="b">
        <v>0</v>
      </c>
    </row>
    <row r="162" ht="22.5" customHeight="1">
      <c r="A162" s="10"/>
      <c r="B162" s="31"/>
      <c r="C162" s="38"/>
      <c r="D162" s="9"/>
      <c r="E162" s="10"/>
      <c r="F162" s="10"/>
      <c r="G162" s="9"/>
      <c r="H162" s="10"/>
      <c r="I162" s="21" t="b">
        <v>0</v>
      </c>
    </row>
    <row r="163" ht="22.5" customHeight="1">
      <c r="A163" s="10"/>
      <c r="B163" s="31"/>
      <c r="C163" s="38"/>
      <c r="D163" s="9"/>
      <c r="E163" s="10"/>
      <c r="F163" s="10"/>
      <c r="G163" s="9"/>
      <c r="H163" s="10"/>
      <c r="I163" s="21" t="b">
        <v>0</v>
      </c>
    </row>
    <row r="164" ht="22.5" customHeight="1">
      <c r="A164" s="10"/>
      <c r="B164" s="31"/>
      <c r="C164" s="38"/>
      <c r="D164" s="9"/>
      <c r="E164" s="10"/>
      <c r="F164" s="10"/>
      <c r="G164" s="9"/>
      <c r="H164" s="10"/>
      <c r="I164" s="21" t="b">
        <v>0</v>
      </c>
    </row>
    <row r="165" ht="22.5" customHeight="1">
      <c r="A165" s="10"/>
      <c r="B165" s="31"/>
      <c r="C165" s="38"/>
      <c r="D165" s="9"/>
      <c r="E165" s="10"/>
      <c r="F165" s="10"/>
      <c r="G165" s="9"/>
      <c r="H165" s="10"/>
      <c r="I165" s="21" t="b">
        <v>0</v>
      </c>
    </row>
    <row r="166" ht="22.5" customHeight="1">
      <c r="A166" s="10"/>
      <c r="B166" s="31"/>
      <c r="C166" s="38"/>
      <c r="D166" s="9"/>
      <c r="E166" s="10"/>
      <c r="F166" s="10"/>
      <c r="G166" s="9"/>
      <c r="H166" s="10"/>
      <c r="I166" s="21" t="b">
        <v>0</v>
      </c>
    </row>
    <row r="167" ht="22.5" customHeight="1">
      <c r="A167" s="10"/>
      <c r="B167" s="31"/>
      <c r="C167" s="38"/>
      <c r="D167" s="9"/>
      <c r="E167" s="10"/>
      <c r="F167" s="10"/>
      <c r="G167" s="9"/>
      <c r="H167" s="10"/>
      <c r="I167" s="21" t="b">
        <v>0</v>
      </c>
    </row>
    <row r="168" ht="22.5" customHeight="1">
      <c r="A168" s="10"/>
      <c r="B168" s="31"/>
      <c r="C168" s="38"/>
      <c r="D168" s="9"/>
      <c r="E168" s="10"/>
      <c r="F168" s="10"/>
      <c r="G168" s="9"/>
      <c r="H168" s="10"/>
      <c r="I168" s="21" t="b">
        <v>0</v>
      </c>
    </row>
    <row r="169" ht="22.5" customHeight="1">
      <c r="A169" s="10"/>
      <c r="B169" s="31"/>
      <c r="C169" s="38"/>
      <c r="D169" s="9"/>
      <c r="E169" s="10"/>
      <c r="F169" s="10"/>
      <c r="G169" s="9"/>
      <c r="H169" s="10"/>
      <c r="I169" s="21" t="b">
        <v>0</v>
      </c>
    </row>
    <row r="170" ht="22.5" customHeight="1">
      <c r="A170" s="10"/>
      <c r="B170" s="31"/>
      <c r="C170" s="38"/>
      <c r="D170" s="9"/>
      <c r="E170" s="10"/>
      <c r="F170" s="10"/>
      <c r="G170" s="9"/>
      <c r="H170" s="10"/>
      <c r="I170" s="21" t="b">
        <v>0</v>
      </c>
    </row>
    <row r="171" ht="22.5" customHeight="1">
      <c r="A171" s="10"/>
      <c r="B171" s="31"/>
      <c r="C171" s="38"/>
      <c r="D171" s="9"/>
      <c r="E171" s="10"/>
      <c r="F171" s="10"/>
      <c r="G171" s="9"/>
      <c r="H171" s="10"/>
      <c r="I171" s="21" t="b">
        <v>0</v>
      </c>
    </row>
    <row r="172" ht="22.5" customHeight="1">
      <c r="A172" s="10"/>
      <c r="B172" s="31"/>
      <c r="C172" s="38"/>
      <c r="D172" s="9"/>
      <c r="E172" s="10"/>
      <c r="F172" s="10"/>
      <c r="G172" s="9"/>
      <c r="H172" s="10"/>
      <c r="I172" s="21" t="b">
        <v>0</v>
      </c>
    </row>
    <row r="173" ht="22.5" customHeight="1">
      <c r="A173" s="10"/>
      <c r="B173" s="31"/>
      <c r="C173" s="38"/>
      <c r="D173" s="9"/>
      <c r="E173" s="10"/>
      <c r="F173" s="10"/>
      <c r="G173" s="9"/>
      <c r="H173" s="10"/>
      <c r="I173" s="21" t="b">
        <v>0</v>
      </c>
    </row>
    <row r="174" ht="22.5" customHeight="1">
      <c r="A174" s="10"/>
      <c r="B174" s="31"/>
      <c r="C174" s="38"/>
      <c r="D174" s="9"/>
      <c r="E174" s="10"/>
      <c r="F174" s="10"/>
      <c r="G174" s="9"/>
      <c r="H174" s="10"/>
      <c r="I174" s="21" t="b">
        <v>0</v>
      </c>
    </row>
    <row r="175" ht="22.5" customHeight="1">
      <c r="A175" s="10"/>
      <c r="B175" s="31"/>
      <c r="C175" s="38"/>
      <c r="D175" s="9"/>
      <c r="E175" s="10"/>
      <c r="F175" s="10"/>
      <c r="G175" s="9"/>
      <c r="H175" s="10"/>
      <c r="I175" s="21" t="b">
        <v>0</v>
      </c>
    </row>
    <row r="176" ht="22.5" customHeight="1">
      <c r="A176" s="10"/>
      <c r="B176" s="31"/>
      <c r="C176" s="38"/>
      <c r="D176" s="9"/>
      <c r="E176" s="10"/>
      <c r="F176" s="10"/>
      <c r="G176" s="9"/>
      <c r="H176" s="10"/>
      <c r="I176" s="21" t="b">
        <v>0</v>
      </c>
    </row>
    <row r="177" ht="22.5" customHeight="1">
      <c r="A177" s="10"/>
      <c r="B177" s="31"/>
      <c r="C177" s="38"/>
      <c r="D177" s="9"/>
      <c r="E177" s="10"/>
      <c r="F177" s="10"/>
      <c r="G177" s="9"/>
      <c r="H177" s="10"/>
      <c r="I177" s="21" t="b">
        <v>0</v>
      </c>
    </row>
    <row r="178" ht="22.5" customHeight="1">
      <c r="A178" s="10"/>
      <c r="B178" s="31"/>
      <c r="C178" s="38"/>
      <c r="D178" s="9"/>
      <c r="E178" s="10"/>
      <c r="F178" s="10"/>
      <c r="G178" s="9"/>
      <c r="H178" s="10"/>
      <c r="I178" s="21" t="b">
        <v>0</v>
      </c>
    </row>
    <row r="179" ht="22.5" customHeight="1">
      <c r="A179" s="10"/>
      <c r="B179" s="31"/>
      <c r="C179" s="38"/>
      <c r="D179" s="9"/>
      <c r="E179" s="10"/>
      <c r="F179" s="10"/>
      <c r="G179" s="9"/>
      <c r="H179" s="10"/>
      <c r="I179" s="21" t="b">
        <v>0</v>
      </c>
    </row>
    <row r="180" ht="22.5" customHeight="1">
      <c r="A180" s="10"/>
      <c r="B180" s="31"/>
      <c r="C180" s="38"/>
      <c r="D180" s="9"/>
      <c r="E180" s="10"/>
      <c r="F180" s="10"/>
      <c r="G180" s="9"/>
      <c r="H180" s="10"/>
      <c r="I180" s="21" t="b">
        <v>0</v>
      </c>
    </row>
    <row r="181" ht="22.5" customHeight="1">
      <c r="A181" s="10"/>
      <c r="B181" s="31"/>
      <c r="C181" s="38"/>
      <c r="D181" s="9"/>
      <c r="E181" s="10"/>
      <c r="F181" s="10"/>
      <c r="G181" s="9"/>
      <c r="H181" s="10"/>
      <c r="I181" s="21" t="b">
        <v>0</v>
      </c>
    </row>
    <row r="182" ht="22.5" customHeight="1">
      <c r="A182" s="10"/>
      <c r="B182" s="31"/>
      <c r="C182" s="38"/>
      <c r="D182" s="9"/>
      <c r="E182" s="10"/>
      <c r="F182" s="10"/>
      <c r="G182" s="9"/>
      <c r="H182" s="10"/>
      <c r="I182" s="21" t="b">
        <v>0</v>
      </c>
    </row>
    <row r="183" ht="22.5" customHeight="1">
      <c r="A183" s="10"/>
      <c r="B183" s="31"/>
      <c r="C183" s="38"/>
      <c r="D183" s="9"/>
      <c r="E183" s="10"/>
      <c r="F183" s="10"/>
      <c r="G183" s="9"/>
      <c r="H183" s="10"/>
      <c r="I183" s="21" t="b">
        <v>0</v>
      </c>
    </row>
    <row r="184" ht="22.5" customHeight="1">
      <c r="A184" s="10"/>
      <c r="B184" s="31"/>
      <c r="C184" s="38"/>
      <c r="D184" s="9"/>
      <c r="E184" s="10"/>
      <c r="F184" s="10"/>
      <c r="G184" s="9"/>
      <c r="H184" s="10"/>
      <c r="I184" s="21" t="b">
        <v>0</v>
      </c>
    </row>
    <row r="185" ht="22.5" customHeight="1">
      <c r="A185" s="10"/>
      <c r="B185" s="31"/>
      <c r="C185" s="38"/>
      <c r="D185" s="9"/>
      <c r="E185" s="10"/>
      <c r="F185" s="10"/>
      <c r="G185" s="9"/>
      <c r="H185" s="10"/>
      <c r="I185" s="21" t="b">
        <v>0</v>
      </c>
    </row>
    <row r="186" ht="22.5" customHeight="1">
      <c r="A186" s="10"/>
      <c r="B186" s="31"/>
      <c r="C186" s="38"/>
      <c r="D186" s="9"/>
      <c r="E186" s="10"/>
      <c r="F186" s="10"/>
      <c r="G186" s="9"/>
      <c r="H186" s="10"/>
      <c r="I186" s="21" t="b">
        <v>0</v>
      </c>
    </row>
    <row r="187" ht="22.5" customHeight="1">
      <c r="A187" s="10"/>
      <c r="B187" s="31"/>
      <c r="C187" s="38"/>
      <c r="D187" s="9"/>
      <c r="E187" s="10"/>
      <c r="F187" s="10"/>
      <c r="G187" s="9"/>
      <c r="H187" s="10"/>
      <c r="I187" s="21" t="b">
        <v>0</v>
      </c>
    </row>
    <row r="188" ht="22.5" customHeight="1">
      <c r="A188" s="10"/>
      <c r="B188" s="31"/>
      <c r="C188" s="38"/>
      <c r="D188" s="9"/>
      <c r="E188" s="10"/>
      <c r="F188" s="10"/>
      <c r="G188" s="9"/>
      <c r="H188" s="10"/>
      <c r="I188" s="21" t="b">
        <v>0</v>
      </c>
    </row>
    <row r="189" ht="22.5" customHeight="1">
      <c r="A189" s="10"/>
      <c r="B189" s="31"/>
      <c r="C189" s="38"/>
      <c r="D189" s="9"/>
      <c r="E189" s="10"/>
      <c r="F189" s="10"/>
      <c r="G189" s="9"/>
      <c r="H189" s="10"/>
      <c r="I189" s="21" t="b">
        <v>0</v>
      </c>
    </row>
    <row r="190" ht="22.5" customHeight="1">
      <c r="A190" s="10"/>
      <c r="B190" s="31"/>
      <c r="C190" s="38"/>
      <c r="D190" s="9"/>
      <c r="E190" s="10"/>
      <c r="F190" s="10"/>
      <c r="G190" s="9"/>
      <c r="H190" s="10"/>
      <c r="I190" s="21" t="b">
        <v>0</v>
      </c>
    </row>
    <row r="191" ht="22.5" customHeight="1">
      <c r="A191" s="10"/>
      <c r="B191" s="31"/>
      <c r="C191" s="38"/>
      <c r="D191" s="9"/>
      <c r="E191" s="10"/>
      <c r="F191" s="10"/>
      <c r="G191" s="9"/>
      <c r="H191" s="10"/>
      <c r="I191" s="21" t="b">
        <v>0</v>
      </c>
    </row>
    <row r="192" ht="22.5" customHeight="1">
      <c r="A192" s="10"/>
      <c r="B192" s="31"/>
      <c r="C192" s="38"/>
      <c r="D192" s="9"/>
      <c r="E192" s="10"/>
      <c r="F192" s="10"/>
      <c r="G192" s="9"/>
      <c r="H192" s="10"/>
      <c r="I192" s="21" t="b">
        <v>0</v>
      </c>
    </row>
    <row r="193" ht="22.5" customHeight="1">
      <c r="A193" s="10"/>
      <c r="B193" s="31"/>
      <c r="C193" s="38"/>
      <c r="D193" s="9"/>
      <c r="E193" s="10"/>
      <c r="F193" s="10"/>
      <c r="G193" s="9"/>
      <c r="H193" s="10"/>
      <c r="I193" s="21" t="b">
        <v>0</v>
      </c>
    </row>
    <row r="194" ht="22.5" customHeight="1">
      <c r="A194" s="10"/>
      <c r="B194" s="31"/>
      <c r="C194" s="38"/>
      <c r="D194" s="9"/>
      <c r="E194" s="10"/>
      <c r="F194" s="10"/>
      <c r="G194" s="9"/>
      <c r="H194" s="10"/>
      <c r="I194" s="21" t="b">
        <v>0</v>
      </c>
    </row>
    <row r="195" ht="22.5" customHeight="1">
      <c r="A195" s="10"/>
      <c r="B195" s="31"/>
      <c r="C195" s="38"/>
      <c r="D195" s="9"/>
      <c r="E195" s="10"/>
      <c r="F195" s="10"/>
      <c r="G195" s="9"/>
      <c r="H195" s="10"/>
      <c r="I195" s="21" t="b">
        <v>0</v>
      </c>
    </row>
    <row r="196" ht="22.5" customHeight="1">
      <c r="A196" s="10"/>
      <c r="B196" s="31"/>
      <c r="C196" s="38"/>
      <c r="D196" s="9"/>
      <c r="E196" s="10"/>
      <c r="F196" s="10"/>
      <c r="G196" s="9"/>
      <c r="H196" s="10"/>
      <c r="I196" s="21" t="b">
        <v>0</v>
      </c>
    </row>
    <row r="197" ht="22.5" customHeight="1">
      <c r="A197" s="10"/>
      <c r="B197" s="31"/>
      <c r="C197" s="38"/>
      <c r="D197" s="9"/>
      <c r="E197" s="10"/>
      <c r="F197" s="10"/>
      <c r="G197" s="9"/>
      <c r="H197" s="10"/>
      <c r="I197" s="21" t="b">
        <v>0</v>
      </c>
    </row>
    <row r="198" ht="22.5" customHeight="1">
      <c r="A198" s="10"/>
      <c r="B198" s="31"/>
      <c r="C198" s="38"/>
      <c r="D198" s="9"/>
      <c r="E198" s="10"/>
      <c r="F198" s="10"/>
      <c r="G198" s="9"/>
      <c r="H198" s="10"/>
      <c r="I198" s="21" t="b">
        <v>0</v>
      </c>
    </row>
    <row r="199" ht="22.5" customHeight="1">
      <c r="A199" s="10"/>
      <c r="B199" s="31"/>
      <c r="C199" s="38"/>
      <c r="D199" s="9"/>
      <c r="E199" s="10"/>
      <c r="F199" s="10"/>
      <c r="G199" s="9"/>
      <c r="H199" s="10"/>
      <c r="I199" s="21" t="b">
        <v>0</v>
      </c>
    </row>
    <row r="200" ht="22.5" customHeight="1">
      <c r="A200" s="10"/>
      <c r="B200" s="31"/>
      <c r="C200" s="38"/>
      <c r="D200" s="9"/>
      <c r="E200" s="10"/>
      <c r="F200" s="10"/>
      <c r="G200" s="9"/>
      <c r="H200" s="10"/>
      <c r="I200" s="21" t="b">
        <v>0</v>
      </c>
    </row>
    <row r="201" ht="22.5" customHeight="1">
      <c r="A201" s="10"/>
      <c r="B201" s="31"/>
      <c r="C201" s="38"/>
      <c r="D201" s="9"/>
      <c r="E201" s="10"/>
      <c r="F201" s="10"/>
      <c r="G201" s="9"/>
      <c r="H201" s="10"/>
      <c r="I201" s="21" t="b">
        <v>0</v>
      </c>
    </row>
    <row r="202" ht="22.5" customHeight="1">
      <c r="A202" s="10"/>
      <c r="B202" s="31"/>
      <c r="C202" s="38"/>
      <c r="D202" s="9"/>
      <c r="E202" s="10"/>
      <c r="F202" s="10"/>
      <c r="G202" s="9"/>
      <c r="H202" s="10"/>
      <c r="I202" s="21" t="b">
        <v>0</v>
      </c>
    </row>
    <row r="203" ht="22.5" customHeight="1">
      <c r="A203" s="10"/>
      <c r="B203" s="31"/>
      <c r="C203" s="38"/>
      <c r="D203" s="9"/>
      <c r="E203" s="10"/>
      <c r="F203" s="10"/>
      <c r="G203" s="9"/>
      <c r="H203" s="10"/>
      <c r="I203" s="21" t="b">
        <v>0</v>
      </c>
    </row>
    <row r="204" ht="22.5" customHeight="1">
      <c r="A204" s="10"/>
      <c r="B204" s="31"/>
      <c r="C204" s="38"/>
      <c r="D204" s="9"/>
      <c r="E204" s="10"/>
      <c r="F204" s="10"/>
      <c r="G204" s="9"/>
      <c r="H204" s="10"/>
      <c r="I204" s="21" t="b">
        <v>0</v>
      </c>
    </row>
    <row r="205" ht="22.5" customHeight="1">
      <c r="A205" s="10"/>
      <c r="B205" s="31"/>
      <c r="C205" s="38"/>
      <c r="D205" s="9"/>
      <c r="E205" s="10"/>
      <c r="F205" s="10"/>
      <c r="G205" s="9"/>
      <c r="H205" s="10"/>
      <c r="I205" s="21" t="b">
        <v>0</v>
      </c>
    </row>
    <row r="206" ht="22.5" customHeight="1">
      <c r="A206" s="10"/>
      <c r="B206" s="31"/>
      <c r="C206" s="38"/>
      <c r="D206" s="9"/>
      <c r="E206" s="10"/>
      <c r="F206" s="10"/>
      <c r="G206" s="9"/>
      <c r="H206" s="10"/>
      <c r="I206" s="21" t="b">
        <v>0</v>
      </c>
    </row>
    <row r="207" ht="22.5" customHeight="1">
      <c r="A207" s="10"/>
      <c r="B207" s="31"/>
      <c r="C207" s="38"/>
      <c r="D207" s="9"/>
      <c r="E207" s="10"/>
      <c r="F207" s="10"/>
      <c r="G207" s="9"/>
      <c r="H207" s="10"/>
      <c r="I207" s="21" t="b">
        <v>0</v>
      </c>
    </row>
    <row r="208" ht="22.5" customHeight="1">
      <c r="A208" s="10"/>
      <c r="B208" s="31"/>
      <c r="C208" s="38"/>
      <c r="D208" s="9"/>
      <c r="E208" s="10"/>
      <c r="F208" s="10"/>
      <c r="G208" s="9"/>
      <c r="H208" s="10"/>
      <c r="I208" s="21" t="b">
        <v>0</v>
      </c>
    </row>
    <row r="209" ht="22.5" customHeight="1">
      <c r="A209" s="10"/>
      <c r="B209" s="31"/>
      <c r="C209" s="38"/>
      <c r="D209" s="9"/>
      <c r="E209" s="10"/>
      <c r="F209" s="10"/>
      <c r="G209" s="9"/>
      <c r="H209" s="10"/>
      <c r="I209" s="21" t="b">
        <v>0</v>
      </c>
    </row>
    <row r="210" ht="22.5" customHeight="1">
      <c r="A210" s="10"/>
      <c r="B210" s="31"/>
      <c r="C210" s="38"/>
      <c r="D210" s="9"/>
      <c r="E210" s="10"/>
      <c r="F210" s="10"/>
      <c r="G210" s="9"/>
      <c r="H210" s="10"/>
      <c r="I210" s="21" t="b">
        <v>0</v>
      </c>
    </row>
    <row r="211" ht="22.5" customHeight="1">
      <c r="A211" s="10"/>
      <c r="B211" s="31"/>
      <c r="C211" s="38"/>
      <c r="D211" s="9"/>
      <c r="E211" s="10"/>
      <c r="F211" s="10"/>
      <c r="G211" s="9"/>
      <c r="H211" s="10"/>
      <c r="I211" s="21" t="b">
        <v>0</v>
      </c>
    </row>
    <row r="212" ht="22.5" customHeight="1">
      <c r="A212" s="10"/>
      <c r="B212" s="31"/>
      <c r="C212" s="38"/>
      <c r="D212" s="9"/>
      <c r="E212" s="10"/>
      <c r="F212" s="10"/>
      <c r="G212" s="9"/>
      <c r="H212" s="10"/>
      <c r="I212" s="21" t="b">
        <v>0</v>
      </c>
    </row>
    <row r="213" ht="22.5" customHeight="1">
      <c r="A213" s="10"/>
      <c r="B213" s="31"/>
      <c r="C213" s="38"/>
      <c r="D213" s="9"/>
      <c r="E213" s="10"/>
      <c r="F213" s="10"/>
      <c r="G213" s="9"/>
      <c r="H213" s="10"/>
      <c r="I213" s="21" t="b">
        <v>0</v>
      </c>
    </row>
    <row r="214" ht="22.5" customHeight="1">
      <c r="A214" s="10"/>
      <c r="B214" s="31"/>
      <c r="C214" s="38"/>
      <c r="D214" s="9"/>
      <c r="E214" s="10"/>
      <c r="F214" s="10"/>
      <c r="G214" s="9"/>
      <c r="H214" s="10"/>
      <c r="I214" s="21" t="b">
        <v>0</v>
      </c>
    </row>
    <row r="215" ht="22.5" customHeight="1">
      <c r="A215" s="10"/>
      <c r="B215" s="31"/>
      <c r="C215" s="38"/>
      <c r="D215" s="9"/>
      <c r="E215" s="10"/>
      <c r="F215" s="10"/>
      <c r="G215" s="9"/>
      <c r="H215" s="10"/>
      <c r="I215" s="21" t="b">
        <v>0</v>
      </c>
    </row>
    <row r="216" ht="22.5" customHeight="1">
      <c r="A216" s="10"/>
      <c r="B216" s="31"/>
      <c r="C216" s="38"/>
      <c r="D216" s="9"/>
      <c r="E216" s="10"/>
      <c r="F216" s="10"/>
      <c r="G216" s="9"/>
      <c r="H216" s="10"/>
      <c r="I216" s="21" t="b">
        <v>0</v>
      </c>
    </row>
    <row r="217" ht="22.5" customHeight="1">
      <c r="A217" s="10"/>
      <c r="B217" s="31"/>
      <c r="C217" s="38"/>
      <c r="D217" s="9"/>
      <c r="E217" s="10"/>
      <c r="F217" s="10"/>
      <c r="G217" s="9"/>
      <c r="H217" s="10"/>
      <c r="I217" s="21" t="b">
        <v>0</v>
      </c>
    </row>
    <row r="218" ht="22.5" customHeight="1">
      <c r="A218" s="10"/>
      <c r="B218" s="31"/>
      <c r="C218" s="38"/>
      <c r="D218" s="9"/>
      <c r="E218" s="10"/>
      <c r="F218" s="10"/>
      <c r="G218" s="9"/>
      <c r="H218" s="10"/>
      <c r="I218" s="21" t="b">
        <v>0</v>
      </c>
    </row>
    <row r="219" ht="22.5" customHeight="1">
      <c r="A219" s="10"/>
      <c r="B219" s="31"/>
      <c r="C219" s="38"/>
      <c r="D219" s="9"/>
      <c r="E219" s="10"/>
      <c r="F219" s="10"/>
      <c r="G219" s="9"/>
      <c r="H219" s="10"/>
      <c r="I219" s="21" t="b">
        <v>0</v>
      </c>
    </row>
    <row r="220" ht="22.5" customHeight="1">
      <c r="A220" s="10"/>
      <c r="B220" s="31"/>
      <c r="C220" s="38"/>
      <c r="D220" s="9"/>
      <c r="E220" s="10"/>
      <c r="F220" s="10"/>
      <c r="G220" s="9"/>
      <c r="H220" s="10"/>
      <c r="I220" s="21" t="b">
        <v>0</v>
      </c>
    </row>
    <row r="221" ht="22.5" customHeight="1">
      <c r="A221" s="10"/>
      <c r="B221" s="31"/>
      <c r="C221" s="38"/>
      <c r="D221" s="9"/>
      <c r="E221" s="10"/>
      <c r="F221" s="10"/>
      <c r="G221" s="9"/>
      <c r="H221" s="10"/>
      <c r="I221" s="21" t="b">
        <v>0</v>
      </c>
    </row>
    <row r="222" ht="22.5" customHeight="1">
      <c r="A222" s="10"/>
      <c r="B222" s="31"/>
      <c r="C222" s="38"/>
      <c r="D222" s="9"/>
      <c r="E222" s="10"/>
      <c r="F222" s="10"/>
      <c r="G222" s="9"/>
      <c r="H222" s="10"/>
      <c r="I222" s="21" t="b">
        <v>0</v>
      </c>
    </row>
    <row r="223" ht="22.5" customHeight="1">
      <c r="A223" s="10"/>
      <c r="B223" s="31"/>
      <c r="C223" s="38"/>
      <c r="D223" s="9"/>
      <c r="E223" s="10"/>
      <c r="F223" s="10"/>
      <c r="G223" s="9"/>
      <c r="H223" s="10"/>
      <c r="I223" s="21" t="b">
        <v>0</v>
      </c>
    </row>
    <row r="224" ht="22.5" customHeight="1">
      <c r="A224" s="10"/>
      <c r="B224" s="31"/>
      <c r="C224" s="38"/>
      <c r="D224" s="9"/>
      <c r="E224" s="10"/>
      <c r="F224" s="10"/>
      <c r="G224" s="9"/>
      <c r="H224" s="10"/>
      <c r="I224" s="21" t="b">
        <v>0</v>
      </c>
    </row>
    <row r="225" ht="22.5" customHeight="1">
      <c r="A225" s="10"/>
      <c r="B225" s="31"/>
      <c r="C225" s="38"/>
      <c r="D225" s="9"/>
      <c r="E225" s="10"/>
      <c r="F225" s="10"/>
      <c r="G225" s="9"/>
      <c r="H225" s="10"/>
      <c r="I225" s="21" t="b">
        <v>0</v>
      </c>
    </row>
    <row r="226" ht="22.5" customHeight="1">
      <c r="A226" s="10"/>
      <c r="B226" s="31"/>
      <c r="C226" s="38"/>
      <c r="D226" s="9"/>
      <c r="E226" s="10"/>
      <c r="F226" s="10"/>
      <c r="G226" s="9"/>
      <c r="H226" s="10"/>
      <c r="I226" s="21" t="b">
        <v>0</v>
      </c>
    </row>
    <row r="227" ht="22.5" customHeight="1">
      <c r="A227" s="10"/>
      <c r="B227" s="31"/>
      <c r="C227" s="38"/>
      <c r="D227" s="9"/>
      <c r="E227" s="10"/>
      <c r="F227" s="10"/>
      <c r="G227" s="9"/>
      <c r="H227" s="10"/>
      <c r="I227" s="21" t="b">
        <v>0</v>
      </c>
    </row>
    <row r="228" ht="22.5" customHeight="1">
      <c r="A228" s="10"/>
      <c r="B228" s="31"/>
      <c r="C228" s="38"/>
      <c r="D228" s="9"/>
      <c r="E228" s="10"/>
      <c r="F228" s="10"/>
      <c r="G228" s="9"/>
      <c r="H228" s="10"/>
      <c r="I228" s="21" t="b">
        <v>0</v>
      </c>
    </row>
    <row r="229" ht="22.5" customHeight="1">
      <c r="A229" s="10"/>
      <c r="B229" s="31"/>
      <c r="C229" s="38"/>
      <c r="D229" s="9"/>
      <c r="E229" s="10"/>
      <c r="F229" s="10"/>
      <c r="G229" s="9"/>
      <c r="H229" s="10"/>
      <c r="I229" s="21" t="b">
        <v>0</v>
      </c>
    </row>
    <row r="230" ht="22.5" customHeight="1">
      <c r="A230" s="10"/>
      <c r="B230" s="31"/>
      <c r="C230" s="38"/>
      <c r="D230" s="9"/>
      <c r="E230" s="10"/>
      <c r="F230" s="10"/>
      <c r="G230" s="9"/>
      <c r="H230" s="10"/>
      <c r="I230" s="21" t="b">
        <v>0</v>
      </c>
    </row>
    <row r="231" ht="22.5" customHeight="1">
      <c r="A231" s="10"/>
      <c r="B231" s="31"/>
      <c r="C231" s="38"/>
      <c r="D231" s="9"/>
      <c r="E231" s="10"/>
      <c r="F231" s="10"/>
      <c r="G231" s="9"/>
      <c r="H231" s="10"/>
      <c r="I231" s="21" t="b">
        <v>0</v>
      </c>
    </row>
    <row r="232" ht="22.5" customHeight="1">
      <c r="A232" s="10"/>
      <c r="B232" s="31"/>
      <c r="C232" s="38"/>
      <c r="D232" s="9"/>
      <c r="E232" s="10"/>
      <c r="F232" s="10"/>
      <c r="G232" s="9"/>
      <c r="H232" s="10"/>
      <c r="I232" s="21" t="b">
        <v>0</v>
      </c>
    </row>
    <row r="233" ht="22.5" customHeight="1">
      <c r="A233" s="10"/>
      <c r="B233" s="31"/>
      <c r="C233" s="38"/>
      <c r="D233" s="9"/>
      <c r="E233" s="10"/>
      <c r="F233" s="10"/>
      <c r="G233" s="9"/>
      <c r="H233" s="10"/>
      <c r="I233" s="21" t="b">
        <v>0</v>
      </c>
    </row>
    <row r="234" ht="22.5" customHeight="1">
      <c r="A234" s="10"/>
      <c r="B234" s="31"/>
      <c r="C234" s="38"/>
      <c r="D234" s="9"/>
      <c r="E234" s="10"/>
      <c r="F234" s="10"/>
      <c r="G234" s="9"/>
      <c r="H234" s="10"/>
      <c r="I234" s="21" t="b">
        <v>0</v>
      </c>
    </row>
    <row r="235" ht="22.5" customHeight="1">
      <c r="A235" s="10"/>
      <c r="B235" s="31"/>
      <c r="C235" s="38"/>
      <c r="D235" s="9"/>
      <c r="E235" s="10"/>
      <c r="F235" s="10"/>
      <c r="G235" s="9"/>
      <c r="H235" s="10"/>
      <c r="I235" s="21" t="b">
        <v>0</v>
      </c>
    </row>
    <row r="236" ht="22.5" customHeight="1">
      <c r="A236" s="10"/>
      <c r="B236" s="31"/>
      <c r="C236" s="38"/>
      <c r="D236" s="9"/>
      <c r="E236" s="10"/>
      <c r="F236" s="10"/>
      <c r="G236" s="9"/>
      <c r="H236" s="10"/>
      <c r="I236" s="21" t="b">
        <v>0</v>
      </c>
    </row>
    <row r="237" ht="22.5" customHeight="1">
      <c r="A237" s="10"/>
      <c r="B237" s="31"/>
      <c r="C237" s="38"/>
      <c r="D237" s="9"/>
      <c r="E237" s="10"/>
      <c r="F237" s="10"/>
      <c r="G237" s="9"/>
      <c r="H237" s="10"/>
      <c r="I237" s="21" t="b">
        <v>0</v>
      </c>
    </row>
    <row r="238" ht="22.5" customHeight="1">
      <c r="A238" s="10"/>
      <c r="B238" s="31"/>
      <c r="C238" s="38"/>
      <c r="D238" s="9"/>
      <c r="E238" s="10"/>
      <c r="F238" s="10"/>
      <c r="G238" s="9"/>
      <c r="H238" s="10"/>
      <c r="I238" s="21" t="b">
        <v>0</v>
      </c>
    </row>
    <row r="239" ht="22.5" customHeight="1">
      <c r="A239" s="10"/>
      <c r="B239" s="31"/>
      <c r="C239" s="38"/>
      <c r="D239" s="9"/>
      <c r="E239" s="10"/>
      <c r="F239" s="10"/>
      <c r="G239" s="9"/>
      <c r="H239" s="10"/>
      <c r="I239" s="21" t="b">
        <v>0</v>
      </c>
    </row>
    <row r="240" ht="22.5" customHeight="1">
      <c r="A240" s="10"/>
      <c r="B240" s="31"/>
      <c r="C240" s="38"/>
      <c r="D240" s="9"/>
      <c r="E240" s="10"/>
      <c r="F240" s="10"/>
      <c r="G240" s="9"/>
      <c r="H240" s="10"/>
      <c r="I240" s="21" t="b">
        <v>0</v>
      </c>
    </row>
    <row r="241" ht="22.5" customHeight="1">
      <c r="A241" s="10"/>
      <c r="B241" s="31"/>
      <c r="C241" s="38"/>
      <c r="D241" s="9"/>
      <c r="E241" s="10"/>
      <c r="F241" s="10"/>
      <c r="G241" s="9"/>
      <c r="H241" s="10"/>
      <c r="I241" s="21" t="b">
        <v>0</v>
      </c>
    </row>
    <row r="242" ht="22.5" customHeight="1">
      <c r="A242" s="10"/>
      <c r="B242" s="31"/>
      <c r="C242" s="38"/>
      <c r="D242" s="9"/>
      <c r="E242" s="10"/>
      <c r="F242" s="10"/>
      <c r="G242" s="9"/>
      <c r="H242" s="10"/>
      <c r="I242" s="21" t="b">
        <v>0</v>
      </c>
    </row>
    <row r="243" ht="22.5" customHeight="1">
      <c r="A243" s="10"/>
      <c r="B243" s="31"/>
      <c r="C243" s="38"/>
      <c r="D243" s="9"/>
      <c r="E243" s="10"/>
      <c r="F243" s="10"/>
      <c r="G243" s="9"/>
      <c r="H243" s="10"/>
      <c r="I243" s="21" t="b">
        <v>0</v>
      </c>
    </row>
    <row r="244" ht="22.5" customHeight="1">
      <c r="A244" s="10"/>
      <c r="B244" s="31"/>
      <c r="C244" s="38"/>
      <c r="D244" s="9"/>
      <c r="E244" s="10"/>
      <c r="F244" s="10"/>
      <c r="G244" s="9"/>
      <c r="H244" s="10"/>
      <c r="I244" s="21" t="b">
        <v>0</v>
      </c>
    </row>
    <row r="245" ht="22.5" customHeight="1">
      <c r="A245" s="10"/>
      <c r="B245" s="31"/>
      <c r="C245" s="38"/>
      <c r="D245" s="9"/>
      <c r="E245" s="10"/>
      <c r="F245" s="10"/>
      <c r="G245" s="9"/>
      <c r="H245" s="10"/>
      <c r="I245" s="21" t="b">
        <v>0</v>
      </c>
    </row>
    <row r="246" ht="22.5" customHeight="1">
      <c r="A246" s="10"/>
      <c r="B246" s="31"/>
      <c r="C246" s="38"/>
      <c r="D246" s="9"/>
      <c r="E246" s="10"/>
      <c r="F246" s="10"/>
      <c r="G246" s="9"/>
      <c r="H246" s="10"/>
      <c r="I246" s="21" t="b">
        <v>0</v>
      </c>
    </row>
    <row r="247" ht="22.5" customHeight="1">
      <c r="A247" s="10"/>
      <c r="B247" s="31"/>
      <c r="C247" s="38"/>
      <c r="D247" s="9"/>
      <c r="E247" s="10"/>
      <c r="F247" s="10"/>
      <c r="G247" s="9"/>
      <c r="H247" s="10"/>
      <c r="I247" s="21" t="b">
        <v>0</v>
      </c>
    </row>
    <row r="248" ht="22.5" customHeight="1">
      <c r="A248" s="10"/>
      <c r="B248" s="31"/>
      <c r="C248" s="38"/>
      <c r="D248" s="9"/>
      <c r="E248" s="10"/>
      <c r="F248" s="10"/>
      <c r="G248" s="9"/>
      <c r="H248" s="10"/>
      <c r="I248" s="21" t="b">
        <v>0</v>
      </c>
    </row>
    <row r="249" ht="22.5" customHeight="1">
      <c r="A249" s="10"/>
      <c r="B249" s="31"/>
      <c r="C249" s="38"/>
      <c r="D249" s="9"/>
      <c r="E249" s="10"/>
      <c r="F249" s="10"/>
      <c r="G249" s="9"/>
      <c r="H249" s="10"/>
      <c r="I249" s="21" t="b">
        <v>0</v>
      </c>
    </row>
    <row r="250" ht="22.5" customHeight="1">
      <c r="A250" s="10"/>
      <c r="B250" s="31"/>
      <c r="C250" s="38"/>
      <c r="D250" s="9"/>
      <c r="E250" s="10"/>
      <c r="F250" s="10"/>
      <c r="G250" s="9"/>
      <c r="H250" s="10"/>
      <c r="I250" s="21" t="b">
        <v>0</v>
      </c>
    </row>
    <row r="251" ht="22.5" customHeight="1">
      <c r="A251" s="10"/>
      <c r="B251" s="31"/>
      <c r="C251" s="38"/>
      <c r="D251" s="9"/>
      <c r="E251" s="10"/>
      <c r="F251" s="10"/>
      <c r="G251" s="9"/>
      <c r="H251" s="10"/>
      <c r="I251" s="21" t="b">
        <v>0</v>
      </c>
    </row>
    <row r="252" ht="22.5" customHeight="1">
      <c r="A252" s="10"/>
      <c r="B252" s="31"/>
      <c r="C252" s="38"/>
      <c r="D252" s="9"/>
      <c r="E252" s="10"/>
      <c r="F252" s="10"/>
      <c r="G252" s="9"/>
      <c r="H252" s="10"/>
      <c r="I252" s="21" t="b">
        <v>0</v>
      </c>
    </row>
    <row r="253" ht="22.5" customHeight="1">
      <c r="A253" s="10"/>
      <c r="B253" s="31"/>
      <c r="C253" s="38"/>
      <c r="D253" s="9"/>
      <c r="E253" s="10"/>
      <c r="F253" s="10"/>
      <c r="G253" s="9"/>
      <c r="H253" s="10"/>
      <c r="I253" s="21" t="b">
        <v>0</v>
      </c>
    </row>
    <row r="254" ht="22.5" customHeight="1">
      <c r="A254" s="10"/>
      <c r="B254" s="31"/>
      <c r="C254" s="38"/>
      <c r="D254" s="9"/>
      <c r="E254" s="10"/>
      <c r="F254" s="10"/>
      <c r="G254" s="9"/>
      <c r="H254" s="10"/>
      <c r="I254" s="21" t="b">
        <v>0</v>
      </c>
    </row>
    <row r="255" ht="22.5" customHeight="1">
      <c r="A255" s="10"/>
      <c r="B255" s="31"/>
      <c r="C255" s="38"/>
      <c r="D255" s="9"/>
      <c r="E255" s="10"/>
      <c r="F255" s="10"/>
      <c r="G255" s="9"/>
      <c r="H255" s="10"/>
      <c r="I255" s="21" t="b">
        <v>0</v>
      </c>
    </row>
    <row r="256" ht="22.5" customHeight="1">
      <c r="A256" s="10"/>
      <c r="B256" s="31"/>
      <c r="C256" s="38"/>
      <c r="D256" s="9"/>
      <c r="E256" s="10"/>
      <c r="F256" s="10"/>
      <c r="G256" s="9"/>
      <c r="H256" s="10"/>
      <c r="I256" s="21" t="b">
        <v>0</v>
      </c>
    </row>
    <row r="257" ht="22.5" customHeight="1">
      <c r="A257" s="10"/>
      <c r="B257" s="31"/>
      <c r="C257" s="38"/>
      <c r="D257" s="9"/>
      <c r="E257" s="10"/>
      <c r="F257" s="10"/>
      <c r="G257" s="9"/>
      <c r="H257" s="10"/>
      <c r="I257" s="21" t="b">
        <v>0</v>
      </c>
    </row>
    <row r="258" ht="22.5" customHeight="1">
      <c r="A258" s="10"/>
      <c r="B258" s="31"/>
      <c r="C258" s="38"/>
      <c r="D258" s="9"/>
      <c r="E258" s="10"/>
      <c r="F258" s="10"/>
      <c r="G258" s="9"/>
      <c r="H258" s="10"/>
      <c r="I258" s="21" t="b">
        <v>0</v>
      </c>
    </row>
    <row r="259" ht="22.5" customHeight="1">
      <c r="A259" s="10"/>
      <c r="B259" s="31"/>
      <c r="C259" s="38"/>
      <c r="D259" s="9"/>
      <c r="E259" s="10"/>
      <c r="F259" s="10"/>
      <c r="G259" s="9"/>
      <c r="H259" s="10"/>
      <c r="I259" s="21" t="b">
        <v>0</v>
      </c>
    </row>
    <row r="260" ht="22.5" customHeight="1">
      <c r="A260" s="10"/>
      <c r="B260" s="31"/>
      <c r="C260" s="38"/>
      <c r="D260" s="9"/>
      <c r="E260" s="10"/>
      <c r="F260" s="10"/>
      <c r="G260" s="9"/>
      <c r="H260" s="10"/>
      <c r="I260" s="21" t="b">
        <v>0</v>
      </c>
    </row>
    <row r="261" ht="22.5" customHeight="1">
      <c r="A261" s="10"/>
      <c r="B261" s="31"/>
      <c r="C261" s="38"/>
      <c r="D261" s="9"/>
      <c r="E261" s="10"/>
      <c r="F261" s="10"/>
      <c r="G261" s="9"/>
      <c r="H261" s="10"/>
      <c r="I261" s="21" t="b">
        <v>0</v>
      </c>
    </row>
    <row r="262" ht="22.5" customHeight="1">
      <c r="A262" s="10"/>
      <c r="B262" s="31"/>
      <c r="C262" s="38"/>
      <c r="D262" s="9"/>
      <c r="E262" s="10"/>
      <c r="F262" s="10"/>
      <c r="G262" s="9"/>
      <c r="H262" s="10"/>
      <c r="I262" s="21" t="b">
        <v>0</v>
      </c>
    </row>
    <row r="263" ht="22.5" customHeight="1">
      <c r="A263" s="10"/>
      <c r="B263" s="31"/>
      <c r="C263" s="38"/>
      <c r="D263" s="9"/>
      <c r="E263" s="10"/>
      <c r="F263" s="10"/>
      <c r="G263" s="9"/>
      <c r="H263" s="10"/>
      <c r="I263" s="21" t="b">
        <v>0</v>
      </c>
    </row>
    <row r="264" ht="22.5" customHeight="1">
      <c r="A264" s="10"/>
      <c r="B264" s="31"/>
      <c r="C264" s="38"/>
      <c r="D264" s="9"/>
      <c r="E264" s="10"/>
      <c r="F264" s="10"/>
      <c r="G264" s="9"/>
      <c r="H264" s="10"/>
      <c r="I264" s="21" t="b">
        <v>0</v>
      </c>
    </row>
    <row r="265" ht="22.5" customHeight="1">
      <c r="A265" s="10"/>
      <c r="B265" s="31"/>
      <c r="C265" s="38"/>
      <c r="D265" s="9"/>
      <c r="E265" s="10"/>
      <c r="F265" s="10"/>
      <c r="G265" s="9"/>
      <c r="H265" s="10"/>
      <c r="I265" s="21" t="b">
        <v>0</v>
      </c>
    </row>
    <row r="266" ht="22.5" customHeight="1">
      <c r="A266" s="10"/>
      <c r="B266" s="31"/>
      <c r="C266" s="38"/>
      <c r="D266" s="9"/>
      <c r="E266" s="10"/>
      <c r="F266" s="10"/>
      <c r="G266" s="9"/>
      <c r="H266" s="10"/>
      <c r="I266" s="21" t="b">
        <v>0</v>
      </c>
    </row>
    <row r="267" ht="22.5" customHeight="1">
      <c r="A267" s="10"/>
      <c r="B267" s="31"/>
      <c r="C267" s="38"/>
      <c r="D267" s="9"/>
      <c r="E267" s="10"/>
      <c r="F267" s="10"/>
      <c r="G267" s="9"/>
      <c r="H267" s="10"/>
      <c r="I267" s="21" t="b">
        <v>0</v>
      </c>
    </row>
    <row r="268" ht="22.5" customHeight="1">
      <c r="A268" s="10"/>
      <c r="B268" s="31"/>
      <c r="C268" s="38"/>
      <c r="D268" s="9"/>
      <c r="E268" s="10"/>
      <c r="F268" s="10"/>
      <c r="G268" s="9"/>
      <c r="H268" s="10"/>
      <c r="I268" s="21" t="b">
        <v>0</v>
      </c>
    </row>
    <row r="269" ht="22.5" customHeight="1">
      <c r="A269" s="10"/>
      <c r="B269" s="31"/>
      <c r="C269" s="38"/>
      <c r="D269" s="9"/>
      <c r="E269" s="10"/>
      <c r="F269" s="10"/>
      <c r="G269" s="9"/>
      <c r="H269" s="10"/>
      <c r="I269" s="21" t="b">
        <v>0</v>
      </c>
    </row>
    <row r="270" ht="22.5" customHeight="1">
      <c r="A270" s="10"/>
      <c r="B270" s="31"/>
      <c r="C270" s="38"/>
      <c r="D270" s="9"/>
      <c r="E270" s="10"/>
      <c r="F270" s="10"/>
      <c r="G270" s="9"/>
      <c r="H270" s="10"/>
      <c r="I270" s="21" t="b">
        <v>0</v>
      </c>
    </row>
    <row r="271" ht="22.5" customHeight="1">
      <c r="A271" s="10"/>
      <c r="B271" s="31"/>
      <c r="C271" s="38"/>
      <c r="D271" s="9"/>
      <c r="E271" s="10"/>
      <c r="F271" s="10"/>
      <c r="G271" s="9"/>
      <c r="H271" s="10"/>
      <c r="I271" s="21" t="b">
        <v>0</v>
      </c>
    </row>
    <row r="272" ht="22.5" customHeight="1">
      <c r="A272" s="10"/>
      <c r="B272" s="31"/>
      <c r="C272" s="38"/>
      <c r="D272" s="9"/>
      <c r="E272" s="10"/>
      <c r="F272" s="10"/>
      <c r="G272" s="9"/>
      <c r="H272" s="10"/>
      <c r="I272" s="21" t="b">
        <v>0</v>
      </c>
    </row>
    <row r="273" ht="22.5" customHeight="1">
      <c r="A273" s="10"/>
      <c r="B273" s="31"/>
      <c r="C273" s="38"/>
      <c r="D273" s="9"/>
      <c r="E273" s="10"/>
      <c r="F273" s="10"/>
      <c r="G273" s="9"/>
      <c r="H273" s="10"/>
      <c r="I273" s="21" t="b">
        <v>0</v>
      </c>
    </row>
    <row r="274" ht="22.5" customHeight="1">
      <c r="A274" s="10"/>
      <c r="B274" s="31"/>
      <c r="C274" s="38"/>
      <c r="D274" s="9"/>
      <c r="E274" s="10"/>
      <c r="F274" s="10"/>
      <c r="G274" s="9"/>
      <c r="H274" s="10"/>
      <c r="I274" s="21" t="b">
        <v>0</v>
      </c>
    </row>
    <row r="275" ht="22.5" customHeight="1">
      <c r="A275" s="10"/>
      <c r="B275" s="31"/>
      <c r="C275" s="38"/>
      <c r="D275" s="9"/>
      <c r="E275" s="10"/>
      <c r="F275" s="10"/>
      <c r="G275" s="9"/>
      <c r="H275" s="10"/>
      <c r="I275" s="21" t="b">
        <v>0</v>
      </c>
    </row>
    <row r="276" ht="22.5" customHeight="1">
      <c r="A276" s="10"/>
      <c r="B276" s="31"/>
      <c r="C276" s="38"/>
      <c r="D276" s="9"/>
      <c r="E276" s="10"/>
      <c r="F276" s="10"/>
      <c r="G276" s="9"/>
      <c r="H276" s="10"/>
      <c r="I276" s="21" t="b">
        <v>0</v>
      </c>
    </row>
    <row r="277" ht="22.5" customHeight="1">
      <c r="A277" s="10"/>
      <c r="B277" s="31"/>
      <c r="C277" s="38"/>
      <c r="D277" s="9"/>
      <c r="E277" s="10"/>
      <c r="F277" s="10"/>
      <c r="G277" s="9"/>
      <c r="H277" s="10"/>
      <c r="I277" s="21" t="b">
        <v>0</v>
      </c>
    </row>
    <row r="278" ht="22.5" customHeight="1">
      <c r="A278" s="10"/>
      <c r="B278" s="31"/>
      <c r="C278" s="38"/>
      <c r="D278" s="9"/>
      <c r="E278" s="10"/>
      <c r="F278" s="10"/>
      <c r="G278" s="9"/>
      <c r="H278" s="10"/>
      <c r="I278" s="21" t="b">
        <v>0</v>
      </c>
    </row>
    <row r="279" ht="22.5" customHeight="1">
      <c r="A279" s="10"/>
      <c r="B279" s="31"/>
      <c r="C279" s="38"/>
      <c r="D279" s="9"/>
      <c r="E279" s="10"/>
      <c r="F279" s="10"/>
      <c r="G279" s="9"/>
      <c r="H279" s="10"/>
      <c r="I279" s="21" t="b">
        <v>0</v>
      </c>
    </row>
    <row r="280" ht="22.5" customHeight="1">
      <c r="A280" s="10"/>
      <c r="B280" s="31"/>
      <c r="C280" s="38"/>
      <c r="D280" s="9"/>
      <c r="E280" s="10"/>
      <c r="F280" s="10"/>
      <c r="G280" s="9"/>
      <c r="H280" s="10"/>
      <c r="I280" s="21" t="b">
        <v>0</v>
      </c>
    </row>
    <row r="281" ht="22.5" customHeight="1">
      <c r="A281" s="10"/>
      <c r="B281" s="31"/>
      <c r="C281" s="38"/>
      <c r="D281" s="9"/>
      <c r="E281" s="10"/>
      <c r="F281" s="10"/>
      <c r="G281" s="9"/>
      <c r="H281" s="10"/>
      <c r="I281" s="21" t="b">
        <v>0</v>
      </c>
    </row>
    <row r="282" ht="22.5" customHeight="1">
      <c r="A282" s="10"/>
      <c r="B282" s="31"/>
      <c r="C282" s="38"/>
      <c r="D282" s="9"/>
      <c r="E282" s="10"/>
      <c r="F282" s="10"/>
      <c r="G282" s="9"/>
      <c r="H282" s="10"/>
      <c r="I282" s="21" t="b">
        <v>0</v>
      </c>
    </row>
    <row r="283" ht="22.5" customHeight="1">
      <c r="A283" s="10"/>
      <c r="B283" s="31"/>
      <c r="C283" s="38"/>
      <c r="D283" s="9"/>
      <c r="E283" s="10"/>
      <c r="F283" s="10"/>
      <c r="G283" s="9"/>
      <c r="H283" s="10"/>
      <c r="I283" s="21" t="b">
        <v>0</v>
      </c>
    </row>
    <row r="284" ht="22.5" customHeight="1">
      <c r="A284" s="10"/>
      <c r="B284" s="31"/>
      <c r="C284" s="38"/>
      <c r="D284" s="9"/>
      <c r="E284" s="10"/>
      <c r="F284" s="10"/>
      <c r="G284" s="9"/>
      <c r="H284" s="10"/>
      <c r="I284" s="21" t="b">
        <v>0</v>
      </c>
    </row>
    <row r="285" ht="22.5" customHeight="1">
      <c r="A285" s="10"/>
      <c r="B285" s="31"/>
      <c r="C285" s="38"/>
      <c r="D285" s="9"/>
      <c r="E285" s="10"/>
      <c r="F285" s="10"/>
      <c r="G285" s="9"/>
      <c r="H285" s="10"/>
      <c r="I285" s="21" t="b">
        <v>0</v>
      </c>
    </row>
    <row r="286" ht="22.5" customHeight="1">
      <c r="A286" s="10"/>
      <c r="B286" s="31"/>
      <c r="C286" s="38"/>
      <c r="D286" s="9"/>
      <c r="E286" s="10"/>
      <c r="F286" s="10"/>
      <c r="G286" s="9"/>
      <c r="H286" s="10"/>
      <c r="I286" s="21" t="b">
        <v>0</v>
      </c>
    </row>
    <row r="287" ht="22.5" customHeight="1">
      <c r="A287" s="10"/>
      <c r="B287" s="31"/>
      <c r="C287" s="38"/>
      <c r="D287" s="9"/>
      <c r="E287" s="10"/>
      <c r="F287" s="10"/>
      <c r="G287" s="9"/>
      <c r="H287" s="10"/>
      <c r="I287" s="21" t="b">
        <v>0</v>
      </c>
    </row>
    <row r="288" ht="22.5" customHeight="1">
      <c r="A288" s="10"/>
      <c r="B288" s="31"/>
      <c r="C288" s="38"/>
      <c r="D288" s="9"/>
      <c r="E288" s="10"/>
      <c r="F288" s="10"/>
      <c r="G288" s="9"/>
      <c r="H288" s="10"/>
      <c r="I288" s="21" t="b">
        <v>0</v>
      </c>
    </row>
    <row r="289" ht="22.5" customHeight="1">
      <c r="A289" s="10"/>
      <c r="B289" s="31"/>
      <c r="C289" s="38"/>
      <c r="D289" s="9"/>
      <c r="E289" s="10"/>
      <c r="F289" s="10"/>
      <c r="G289" s="9"/>
      <c r="H289" s="10"/>
      <c r="I289" s="21" t="b">
        <v>0</v>
      </c>
    </row>
    <row r="290" ht="22.5" customHeight="1">
      <c r="A290" s="10"/>
      <c r="B290" s="31"/>
      <c r="C290" s="38"/>
      <c r="D290" s="9"/>
      <c r="E290" s="10"/>
      <c r="F290" s="10"/>
      <c r="G290" s="9"/>
      <c r="H290" s="10"/>
      <c r="I290" s="21" t="b">
        <v>0</v>
      </c>
    </row>
    <row r="291" ht="22.5" customHeight="1">
      <c r="A291" s="10"/>
      <c r="B291" s="31"/>
      <c r="C291" s="38"/>
      <c r="D291" s="9"/>
      <c r="E291" s="10"/>
      <c r="F291" s="10"/>
      <c r="G291" s="9"/>
      <c r="H291" s="10"/>
      <c r="I291" s="21" t="b">
        <v>0</v>
      </c>
    </row>
    <row r="292" ht="22.5" customHeight="1">
      <c r="A292" s="10"/>
      <c r="B292" s="31"/>
      <c r="C292" s="38"/>
      <c r="D292" s="9"/>
      <c r="E292" s="10"/>
      <c r="F292" s="10"/>
      <c r="G292" s="9"/>
      <c r="H292" s="10"/>
      <c r="I292" s="21" t="b">
        <v>0</v>
      </c>
    </row>
    <row r="293" ht="22.5" customHeight="1">
      <c r="A293" s="10"/>
      <c r="B293" s="31"/>
      <c r="C293" s="38"/>
      <c r="D293" s="9"/>
      <c r="E293" s="10"/>
      <c r="F293" s="10"/>
      <c r="G293" s="9"/>
      <c r="H293" s="10"/>
      <c r="I293" s="21" t="b">
        <v>0</v>
      </c>
    </row>
    <row r="294" ht="22.5" customHeight="1">
      <c r="A294" s="10"/>
      <c r="B294" s="31"/>
      <c r="C294" s="38"/>
      <c r="D294" s="9"/>
      <c r="E294" s="10"/>
      <c r="F294" s="10"/>
      <c r="G294" s="9"/>
      <c r="H294" s="10"/>
      <c r="I294" s="21" t="b">
        <v>0</v>
      </c>
    </row>
    <row r="295" ht="22.5" customHeight="1">
      <c r="A295" s="10"/>
      <c r="B295" s="31"/>
      <c r="C295" s="38"/>
      <c r="D295" s="9"/>
      <c r="E295" s="10"/>
      <c r="F295" s="10"/>
      <c r="G295" s="9"/>
      <c r="H295" s="10"/>
      <c r="I295" s="21" t="b">
        <v>0</v>
      </c>
    </row>
    <row r="296" ht="22.5" customHeight="1">
      <c r="A296" s="10"/>
      <c r="B296" s="31"/>
      <c r="C296" s="38"/>
      <c r="D296" s="9"/>
      <c r="E296" s="10"/>
      <c r="F296" s="10"/>
      <c r="G296" s="9"/>
      <c r="H296" s="10"/>
      <c r="I296" s="21" t="b">
        <v>0</v>
      </c>
    </row>
    <row r="297" ht="22.5" customHeight="1">
      <c r="A297" s="10"/>
      <c r="B297" s="31"/>
      <c r="C297" s="38"/>
      <c r="D297" s="9"/>
      <c r="E297" s="10"/>
      <c r="F297" s="10"/>
      <c r="G297" s="9"/>
      <c r="H297" s="10"/>
      <c r="I297" s="21" t="b">
        <v>0</v>
      </c>
    </row>
    <row r="298" ht="22.5" customHeight="1">
      <c r="A298" s="10"/>
      <c r="B298" s="31"/>
      <c r="C298" s="38"/>
      <c r="D298" s="9"/>
      <c r="E298" s="10"/>
      <c r="F298" s="10"/>
      <c r="G298" s="9"/>
      <c r="H298" s="10"/>
      <c r="I298" s="21" t="b">
        <v>0</v>
      </c>
    </row>
    <row r="299" ht="22.5" customHeight="1">
      <c r="A299" s="10"/>
      <c r="B299" s="31"/>
      <c r="C299" s="38"/>
      <c r="D299" s="9"/>
      <c r="E299" s="10"/>
      <c r="F299" s="10"/>
      <c r="G299" s="9"/>
      <c r="H299" s="10"/>
      <c r="I299" s="21" t="b">
        <v>0</v>
      </c>
    </row>
    <row r="300" ht="22.5" customHeight="1">
      <c r="A300" s="10"/>
      <c r="B300" s="31"/>
      <c r="C300" s="38"/>
      <c r="D300" s="9"/>
      <c r="E300" s="10"/>
      <c r="F300" s="10"/>
      <c r="G300" s="9"/>
      <c r="H300" s="10"/>
      <c r="I300" s="21" t="b">
        <v>0</v>
      </c>
    </row>
    <row r="301" ht="22.5" customHeight="1">
      <c r="A301" s="10"/>
      <c r="B301" s="31"/>
      <c r="C301" s="38"/>
      <c r="D301" s="9"/>
      <c r="E301" s="10"/>
      <c r="F301" s="10"/>
      <c r="G301" s="9"/>
      <c r="H301" s="10"/>
      <c r="I301" s="21" t="b">
        <v>0</v>
      </c>
    </row>
    <row r="302" ht="22.5" customHeight="1">
      <c r="A302" s="10"/>
      <c r="B302" s="31"/>
      <c r="C302" s="38"/>
      <c r="D302" s="9"/>
      <c r="E302" s="10"/>
      <c r="F302" s="10"/>
      <c r="G302" s="9"/>
      <c r="H302" s="10"/>
      <c r="I302" s="21" t="b">
        <v>0</v>
      </c>
    </row>
    <row r="303" ht="22.5" customHeight="1">
      <c r="A303" s="10"/>
      <c r="B303" s="31"/>
      <c r="C303" s="38"/>
      <c r="D303" s="9"/>
      <c r="E303" s="10"/>
      <c r="F303" s="10"/>
      <c r="G303" s="9"/>
      <c r="H303" s="10"/>
      <c r="I303" s="21" t="b">
        <v>0</v>
      </c>
    </row>
    <row r="304" ht="22.5" customHeight="1">
      <c r="A304" s="10"/>
      <c r="B304" s="31"/>
      <c r="C304" s="38"/>
      <c r="D304" s="9"/>
      <c r="E304" s="10"/>
      <c r="F304" s="10"/>
      <c r="G304" s="9"/>
      <c r="H304" s="10"/>
      <c r="I304" s="21" t="b">
        <v>0</v>
      </c>
    </row>
    <row r="305" ht="22.5" customHeight="1">
      <c r="A305" s="10"/>
      <c r="B305" s="31"/>
      <c r="C305" s="38"/>
      <c r="D305" s="9"/>
      <c r="E305" s="10"/>
      <c r="F305" s="10"/>
      <c r="G305" s="9"/>
      <c r="H305" s="10"/>
      <c r="I305" s="21" t="b">
        <v>0</v>
      </c>
    </row>
    <row r="306" ht="22.5" customHeight="1">
      <c r="A306" s="10"/>
      <c r="B306" s="31"/>
      <c r="C306" s="38"/>
      <c r="D306" s="9"/>
      <c r="E306" s="10"/>
      <c r="F306" s="10"/>
      <c r="G306" s="9"/>
      <c r="H306" s="10"/>
      <c r="I306" s="21" t="b">
        <v>0</v>
      </c>
    </row>
    <row r="307" ht="22.5" customHeight="1">
      <c r="A307" s="10"/>
      <c r="B307" s="31"/>
      <c r="C307" s="38"/>
      <c r="D307" s="9"/>
      <c r="E307" s="10"/>
      <c r="F307" s="10"/>
      <c r="G307" s="9"/>
      <c r="H307" s="10"/>
      <c r="I307" s="21" t="b">
        <v>0</v>
      </c>
    </row>
    <row r="308" ht="22.5" customHeight="1">
      <c r="A308" s="10"/>
      <c r="B308" s="31"/>
      <c r="C308" s="38"/>
      <c r="D308" s="9"/>
      <c r="E308" s="10"/>
      <c r="F308" s="10"/>
      <c r="G308" s="9"/>
      <c r="H308" s="10"/>
      <c r="I308" s="21" t="b">
        <v>0</v>
      </c>
    </row>
    <row r="309" ht="22.5" customHeight="1">
      <c r="A309" s="10"/>
      <c r="B309" s="31"/>
      <c r="C309" s="38"/>
      <c r="D309" s="9"/>
      <c r="E309" s="10"/>
      <c r="F309" s="10"/>
      <c r="G309" s="9"/>
      <c r="H309" s="10"/>
      <c r="I309" s="21" t="b">
        <v>0</v>
      </c>
    </row>
    <row r="310" ht="22.5" customHeight="1">
      <c r="A310" s="10"/>
      <c r="B310" s="31"/>
      <c r="C310" s="38"/>
      <c r="D310" s="9"/>
      <c r="E310" s="10"/>
      <c r="F310" s="10"/>
      <c r="G310" s="9"/>
      <c r="H310" s="10"/>
      <c r="I310" s="21" t="b">
        <v>0</v>
      </c>
    </row>
    <row r="311" ht="22.5" customHeight="1">
      <c r="A311" s="10"/>
      <c r="B311" s="31"/>
      <c r="C311" s="38"/>
      <c r="D311" s="9"/>
      <c r="E311" s="10"/>
      <c r="F311" s="10"/>
      <c r="G311" s="9"/>
      <c r="H311" s="10"/>
      <c r="I311" s="21" t="b">
        <v>0</v>
      </c>
    </row>
    <row r="312" ht="22.5" customHeight="1">
      <c r="A312" s="10"/>
      <c r="B312" s="31"/>
      <c r="C312" s="38"/>
      <c r="D312" s="9"/>
      <c r="E312" s="10"/>
      <c r="F312" s="10"/>
      <c r="G312" s="9"/>
      <c r="H312" s="10"/>
      <c r="I312" s="21" t="b">
        <v>0</v>
      </c>
    </row>
    <row r="313" ht="22.5" customHeight="1">
      <c r="A313" s="10"/>
      <c r="B313" s="31"/>
      <c r="C313" s="38"/>
      <c r="D313" s="9"/>
      <c r="E313" s="10"/>
      <c r="F313" s="10"/>
      <c r="G313" s="9"/>
      <c r="H313" s="10"/>
      <c r="I313" s="21" t="b">
        <v>0</v>
      </c>
    </row>
    <row r="314" ht="22.5" customHeight="1">
      <c r="A314" s="10"/>
      <c r="B314" s="31"/>
      <c r="C314" s="38"/>
      <c r="D314" s="9"/>
      <c r="E314" s="10"/>
      <c r="F314" s="10"/>
      <c r="G314" s="9"/>
      <c r="H314" s="10"/>
      <c r="I314" s="21" t="b">
        <v>0</v>
      </c>
    </row>
    <row r="315" ht="22.5" customHeight="1">
      <c r="A315" s="10"/>
      <c r="B315" s="31"/>
      <c r="C315" s="38"/>
      <c r="D315" s="9"/>
      <c r="E315" s="10"/>
      <c r="F315" s="10"/>
      <c r="G315" s="9"/>
      <c r="H315" s="10"/>
      <c r="I315" s="21" t="b">
        <v>0</v>
      </c>
    </row>
    <row r="316" ht="22.5" customHeight="1">
      <c r="A316" s="10"/>
      <c r="B316" s="31"/>
      <c r="C316" s="38"/>
      <c r="D316" s="9"/>
      <c r="E316" s="10"/>
      <c r="F316" s="10"/>
      <c r="G316" s="9"/>
      <c r="H316" s="10"/>
      <c r="I316" s="21" t="b">
        <v>0</v>
      </c>
    </row>
    <row r="317" ht="22.5" customHeight="1">
      <c r="A317" s="10"/>
      <c r="B317" s="31"/>
      <c r="C317" s="38"/>
      <c r="D317" s="9"/>
      <c r="E317" s="10"/>
      <c r="F317" s="10"/>
      <c r="G317" s="9"/>
      <c r="H317" s="10"/>
      <c r="I317" s="21" t="b">
        <v>0</v>
      </c>
    </row>
    <row r="318" ht="22.5" customHeight="1">
      <c r="A318" s="10"/>
      <c r="B318" s="31"/>
      <c r="C318" s="38"/>
      <c r="D318" s="9"/>
      <c r="E318" s="10"/>
      <c r="F318" s="10"/>
      <c r="G318" s="9"/>
      <c r="H318" s="10"/>
      <c r="I318" s="21" t="b">
        <v>0</v>
      </c>
    </row>
    <row r="319" ht="22.5" customHeight="1">
      <c r="A319" s="10"/>
      <c r="B319" s="31"/>
      <c r="C319" s="38"/>
      <c r="D319" s="9"/>
      <c r="E319" s="10"/>
      <c r="F319" s="10"/>
      <c r="G319" s="9"/>
      <c r="H319" s="10"/>
      <c r="I319" s="21" t="b">
        <v>0</v>
      </c>
    </row>
    <row r="320" ht="22.5" customHeight="1">
      <c r="A320" s="10"/>
      <c r="B320" s="31"/>
      <c r="C320" s="38"/>
      <c r="D320" s="9"/>
      <c r="E320" s="10"/>
      <c r="F320" s="10"/>
      <c r="G320" s="9"/>
      <c r="H320" s="10"/>
      <c r="I320" s="21" t="b">
        <v>0</v>
      </c>
    </row>
    <row r="321" ht="22.5" customHeight="1">
      <c r="A321" s="10"/>
      <c r="B321" s="31"/>
      <c r="C321" s="38"/>
      <c r="D321" s="9"/>
      <c r="E321" s="10"/>
      <c r="F321" s="10"/>
      <c r="G321" s="9"/>
      <c r="H321" s="10"/>
      <c r="I321" s="21" t="b">
        <v>0</v>
      </c>
    </row>
    <row r="322" ht="22.5" customHeight="1">
      <c r="A322" s="10"/>
      <c r="B322" s="31"/>
      <c r="C322" s="38"/>
      <c r="D322" s="9"/>
      <c r="E322" s="10"/>
      <c r="F322" s="10"/>
      <c r="G322" s="9"/>
      <c r="H322" s="10"/>
      <c r="I322" s="21" t="b">
        <v>0</v>
      </c>
    </row>
    <row r="323" ht="22.5" customHeight="1">
      <c r="A323" s="10"/>
      <c r="B323" s="31"/>
      <c r="C323" s="38"/>
      <c r="D323" s="9"/>
      <c r="E323" s="10"/>
      <c r="F323" s="10"/>
      <c r="G323" s="9"/>
      <c r="H323" s="10"/>
      <c r="I323" s="21" t="b">
        <v>0</v>
      </c>
    </row>
    <row r="324" ht="22.5" customHeight="1">
      <c r="A324" s="10"/>
      <c r="B324" s="31"/>
      <c r="C324" s="38"/>
      <c r="D324" s="9"/>
      <c r="E324" s="10"/>
      <c r="F324" s="10"/>
      <c r="G324" s="9"/>
      <c r="H324" s="10"/>
      <c r="I324" s="21" t="b">
        <v>0</v>
      </c>
    </row>
    <row r="325" ht="22.5" customHeight="1">
      <c r="A325" s="10"/>
      <c r="B325" s="31"/>
      <c r="C325" s="38"/>
      <c r="D325" s="9"/>
      <c r="E325" s="10"/>
      <c r="F325" s="10"/>
      <c r="G325" s="9"/>
      <c r="H325" s="10"/>
      <c r="I325" s="21" t="b">
        <v>0</v>
      </c>
    </row>
    <row r="326" ht="22.5" customHeight="1">
      <c r="A326" s="10"/>
      <c r="B326" s="31"/>
      <c r="C326" s="38"/>
      <c r="D326" s="9"/>
      <c r="E326" s="10"/>
      <c r="F326" s="10"/>
      <c r="G326" s="9"/>
      <c r="H326" s="10"/>
      <c r="I326" s="21" t="b">
        <v>0</v>
      </c>
    </row>
    <row r="327" ht="22.5" customHeight="1">
      <c r="A327" s="10"/>
      <c r="B327" s="31"/>
      <c r="C327" s="38"/>
      <c r="D327" s="9"/>
      <c r="E327" s="10"/>
      <c r="F327" s="10"/>
      <c r="G327" s="9"/>
      <c r="H327" s="10"/>
      <c r="I327" s="21" t="b">
        <v>0</v>
      </c>
    </row>
    <row r="328" ht="22.5" customHeight="1">
      <c r="A328" s="10"/>
      <c r="B328" s="31"/>
      <c r="C328" s="38"/>
      <c r="D328" s="9"/>
      <c r="E328" s="10"/>
      <c r="F328" s="10"/>
      <c r="G328" s="9"/>
      <c r="H328" s="10"/>
      <c r="I328" s="21" t="b">
        <v>0</v>
      </c>
    </row>
    <row r="329" ht="22.5" customHeight="1">
      <c r="A329" s="10"/>
      <c r="B329" s="31"/>
      <c r="C329" s="38"/>
      <c r="D329" s="9"/>
      <c r="E329" s="10"/>
      <c r="F329" s="10"/>
      <c r="G329" s="9"/>
      <c r="H329" s="10"/>
      <c r="I329" s="21" t="b">
        <v>0</v>
      </c>
    </row>
    <row r="330" ht="22.5" customHeight="1">
      <c r="A330" s="10"/>
      <c r="B330" s="31"/>
      <c r="C330" s="38"/>
      <c r="D330" s="9"/>
      <c r="E330" s="10"/>
      <c r="F330" s="10"/>
      <c r="G330" s="9"/>
      <c r="H330" s="10"/>
      <c r="I330" s="21" t="b">
        <v>0</v>
      </c>
    </row>
    <row r="331" ht="22.5" customHeight="1">
      <c r="A331" s="10"/>
      <c r="B331" s="31"/>
      <c r="C331" s="38"/>
      <c r="D331" s="9"/>
      <c r="E331" s="10"/>
      <c r="F331" s="10"/>
      <c r="G331" s="9"/>
      <c r="H331" s="10"/>
      <c r="I331" s="21" t="b">
        <v>0</v>
      </c>
    </row>
    <row r="332" ht="22.5" customHeight="1">
      <c r="A332" s="10"/>
      <c r="B332" s="31"/>
      <c r="C332" s="38"/>
      <c r="D332" s="9"/>
      <c r="E332" s="10"/>
      <c r="F332" s="10"/>
      <c r="G332" s="9"/>
      <c r="H332" s="10"/>
      <c r="I332" s="21" t="b">
        <v>0</v>
      </c>
    </row>
    <row r="333" ht="22.5" customHeight="1">
      <c r="A333" s="10"/>
      <c r="B333" s="31"/>
      <c r="C333" s="38"/>
      <c r="D333" s="9"/>
      <c r="E333" s="10"/>
      <c r="F333" s="10"/>
      <c r="G333" s="9"/>
      <c r="H333" s="10"/>
      <c r="I333" s="21" t="b">
        <v>0</v>
      </c>
    </row>
    <row r="334" ht="22.5" customHeight="1">
      <c r="A334" s="10"/>
      <c r="B334" s="31"/>
      <c r="C334" s="38"/>
      <c r="D334" s="9"/>
      <c r="E334" s="10"/>
      <c r="F334" s="10"/>
      <c r="G334" s="9"/>
      <c r="H334" s="10"/>
      <c r="I334" s="21" t="b">
        <v>0</v>
      </c>
    </row>
    <row r="335" ht="22.5" customHeight="1">
      <c r="A335" s="10"/>
      <c r="B335" s="31"/>
      <c r="C335" s="38"/>
      <c r="D335" s="9"/>
      <c r="E335" s="10"/>
      <c r="F335" s="10"/>
      <c r="G335" s="9"/>
      <c r="H335" s="10"/>
      <c r="I335" s="21" t="b">
        <v>0</v>
      </c>
    </row>
    <row r="336" ht="22.5" customHeight="1">
      <c r="A336" s="10"/>
      <c r="B336" s="31"/>
      <c r="C336" s="38"/>
      <c r="D336" s="9"/>
      <c r="E336" s="10"/>
      <c r="F336" s="10"/>
      <c r="G336" s="9"/>
      <c r="H336" s="10"/>
      <c r="I336" s="21" t="b">
        <v>0</v>
      </c>
    </row>
    <row r="337" ht="22.5" customHeight="1">
      <c r="A337" s="10"/>
      <c r="B337" s="31"/>
      <c r="C337" s="38"/>
      <c r="D337" s="9"/>
      <c r="E337" s="10"/>
      <c r="F337" s="10"/>
      <c r="G337" s="9"/>
      <c r="H337" s="10"/>
      <c r="I337" s="21" t="b">
        <v>0</v>
      </c>
    </row>
    <row r="338" ht="22.5" customHeight="1">
      <c r="A338" s="10"/>
      <c r="B338" s="31"/>
      <c r="C338" s="38"/>
      <c r="D338" s="9"/>
      <c r="E338" s="10"/>
      <c r="F338" s="10"/>
      <c r="G338" s="9"/>
      <c r="H338" s="10"/>
      <c r="I338" s="21" t="b">
        <v>0</v>
      </c>
    </row>
    <row r="339" ht="22.5" customHeight="1">
      <c r="A339" s="10"/>
      <c r="B339" s="31"/>
      <c r="C339" s="38"/>
      <c r="D339" s="9"/>
      <c r="E339" s="10"/>
      <c r="F339" s="10"/>
      <c r="G339" s="9"/>
      <c r="H339" s="10"/>
      <c r="I339" s="21" t="b">
        <v>0</v>
      </c>
    </row>
    <row r="340" ht="22.5" customHeight="1">
      <c r="A340" s="10"/>
      <c r="B340" s="31"/>
      <c r="C340" s="38"/>
      <c r="D340" s="9"/>
      <c r="E340" s="10"/>
      <c r="F340" s="10"/>
      <c r="G340" s="9"/>
      <c r="H340" s="10"/>
      <c r="I340" s="21" t="b">
        <v>0</v>
      </c>
    </row>
    <row r="341" ht="22.5" customHeight="1">
      <c r="A341" s="10"/>
      <c r="B341" s="31"/>
      <c r="C341" s="38"/>
      <c r="D341" s="9"/>
      <c r="E341" s="10"/>
      <c r="F341" s="10"/>
      <c r="G341" s="9"/>
      <c r="H341" s="10"/>
      <c r="I341" s="21" t="b">
        <v>0</v>
      </c>
    </row>
    <row r="342" ht="22.5" customHeight="1">
      <c r="A342" s="10"/>
      <c r="B342" s="31"/>
      <c r="C342" s="38"/>
      <c r="D342" s="9"/>
      <c r="E342" s="10"/>
      <c r="F342" s="10"/>
      <c r="G342" s="9"/>
      <c r="H342" s="10"/>
      <c r="I342" s="21" t="b">
        <v>0</v>
      </c>
    </row>
    <row r="343" ht="22.5" customHeight="1">
      <c r="A343" s="10"/>
      <c r="B343" s="31"/>
      <c r="C343" s="38"/>
      <c r="D343" s="9"/>
      <c r="E343" s="10"/>
      <c r="F343" s="10"/>
      <c r="G343" s="9"/>
      <c r="H343" s="10"/>
      <c r="I343" s="21" t="b">
        <v>0</v>
      </c>
    </row>
    <row r="344" ht="22.5" customHeight="1">
      <c r="A344" s="10"/>
      <c r="B344" s="31"/>
      <c r="C344" s="38"/>
      <c r="D344" s="9"/>
      <c r="E344" s="10"/>
      <c r="F344" s="10"/>
      <c r="G344" s="9"/>
      <c r="H344" s="10"/>
      <c r="I344" s="21" t="b">
        <v>0</v>
      </c>
    </row>
    <row r="345" ht="22.5" customHeight="1">
      <c r="A345" s="10"/>
      <c r="B345" s="31"/>
      <c r="C345" s="41"/>
      <c r="D345" s="9"/>
      <c r="E345" s="10"/>
      <c r="F345" s="10"/>
      <c r="G345" s="9"/>
      <c r="H345" s="10"/>
      <c r="I345" s="21" t="b">
        <v>0</v>
      </c>
    </row>
    <row r="346" ht="22.5" customHeight="1">
      <c r="A346" s="10"/>
      <c r="B346" s="31"/>
      <c r="C346" s="41"/>
      <c r="D346" s="9"/>
      <c r="E346" s="10"/>
      <c r="F346" s="10"/>
      <c r="G346" s="9"/>
      <c r="H346" s="10"/>
      <c r="I346" s="21" t="b">
        <v>0</v>
      </c>
    </row>
    <row r="347" ht="22.5" customHeight="1">
      <c r="A347" s="10"/>
      <c r="B347" s="31"/>
      <c r="C347" s="41"/>
      <c r="D347" s="9"/>
      <c r="E347" s="10"/>
      <c r="F347" s="10"/>
      <c r="G347" s="9"/>
      <c r="H347" s="10"/>
      <c r="I347" s="21" t="b">
        <v>0</v>
      </c>
    </row>
    <row r="348" ht="22.5" customHeight="1">
      <c r="A348" s="10"/>
      <c r="B348" s="31"/>
      <c r="C348" s="41"/>
      <c r="D348" s="9"/>
      <c r="E348" s="10"/>
      <c r="F348" s="10"/>
      <c r="G348" s="9"/>
      <c r="H348" s="10"/>
      <c r="I348" s="21" t="b">
        <v>0</v>
      </c>
    </row>
    <row r="349" ht="22.5" customHeight="1">
      <c r="A349" s="10"/>
      <c r="B349" s="31"/>
      <c r="C349" s="41"/>
      <c r="D349" s="9"/>
      <c r="E349" s="10"/>
      <c r="F349" s="10"/>
      <c r="G349" s="9"/>
      <c r="H349" s="10"/>
      <c r="I349" s="21" t="b">
        <v>0</v>
      </c>
    </row>
    <row r="350" ht="22.5" customHeight="1">
      <c r="A350" s="10"/>
      <c r="B350" s="31"/>
      <c r="C350" s="41"/>
      <c r="D350" s="9"/>
      <c r="E350" s="10"/>
      <c r="F350" s="10"/>
      <c r="G350" s="9"/>
      <c r="H350" s="10"/>
      <c r="I350" s="21" t="b">
        <v>0</v>
      </c>
    </row>
    <row r="351" ht="22.5" customHeight="1">
      <c r="A351" s="10"/>
      <c r="B351" s="31"/>
      <c r="C351" s="41"/>
      <c r="D351" s="9"/>
      <c r="E351" s="10"/>
      <c r="F351" s="10"/>
      <c r="G351" s="9"/>
      <c r="H351" s="10"/>
      <c r="I351" s="21" t="b">
        <v>0</v>
      </c>
    </row>
    <row r="352" ht="22.5" customHeight="1">
      <c r="A352" s="10"/>
      <c r="B352" s="31"/>
      <c r="C352" s="41"/>
      <c r="D352" s="9"/>
      <c r="E352" s="10"/>
      <c r="F352" s="10"/>
      <c r="G352" s="9"/>
      <c r="H352" s="10"/>
      <c r="I352" s="21" t="b">
        <v>0</v>
      </c>
    </row>
    <row r="353" ht="22.5" customHeight="1">
      <c r="A353" s="10"/>
      <c r="B353" s="31"/>
      <c r="C353" s="41"/>
      <c r="D353" s="9"/>
      <c r="E353" s="10"/>
      <c r="F353" s="10"/>
      <c r="G353" s="9"/>
      <c r="H353" s="10"/>
      <c r="I353" s="21" t="b">
        <v>0</v>
      </c>
    </row>
    <row r="354" ht="22.5" customHeight="1">
      <c r="A354" s="10"/>
      <c r="B354" s="31"/>
      <c r="C354" s="41"/>
      <c r="D354" s="9"/>
      <c r="E354" s="10"/>
      <c r="F354" s="10"/>
      <c r="G354" s="9"/>
      <c r="H354" s="10"/>
      <c r="I354" s="21" t="b">
        <v>0</v>
      </c>
    </row>
    <row r="355" ht="22.5" customHeight="1">
      <c r="A355" s="10"/>
      <c r="B355" s="31"/>
      <c r="C355" s="41"/>
      <c r="D355" s="9"/>
      <c r="E355" s="10"/>
      <c r="F355" s="10"/>
      <c r="G355" s="9"/>
      <c r="H355" s="10"/>
      <c r="I355" s="21" t="b">
        <v>0</v>
      </c>
    </row>
    <row r="356" ht="22.5" customHeight="1">
      <c r="A356" s="10"/>
      <c r="B356" s="31"/>
      <c r="C356" s="41"/>
      <c r="D356" s="9"/>
      <c r="E356" s="10"/>
      <c r="F356" s="10"/>
      <c r="G356" s="9"/>
      <c r="H356" s="10"/>
      <c r="I356" s="21" t="b">
        <v>0</v>
      </c>
    </row>
    <row r="357" ht="22.5" customHeight="1">
      <c r="A357" s="10"/>
      <c r="B357" s="31"/>
      <c r="C357" s="41"/>
      <c r="D357" s="9"/>
      <c r="E357" s="10"/>
      <c r="F357" s="10"/>
      <c r="G357" s="9"/>
      <c r="H357" s="10"/>
      <c r="I357" s="21" t="b">
        <v>0</v>
      </c>
    </row>
    <row r="358" ht="22.5" customHeight="1">
      <c r="A358" s="10"/>
      <c r="B358" s="31"/>
      <c r="C358" s="41"/>
      <c r="D358" s="9"/>
      <c r="E358" s="10"/>
      <c r="F358" s="10"/>
      <c r="G358" s="9"/>
      <c r="H358" s="10"/>
      <c r="I358" s="21" t="b">
        <v>0</v>
      </c>
    </row>
    <row r="359" ht="22.5" customHeight="1">
      <c r="A359" s="10"/>
      <c r="B359" s="31"/>
      <c r="C359" s="41"/>
      <c r="D359" s="9"/>
      <c r="E359" s="10"/>
      <c r="F359" s="10"/>
      <c r="G359" s="9"/>
      <c r="H359" s="10"/>
      <c r="I359" s="21" t="b">
        <v>0</v>
      </c>
    </row>
    <row r="360" ht="22.5" customHeight="1">
      <c r="A360" s="10"/>
      <c r="B360" s="31"/>
      <c r="C360" s="41"/>
      <c r="D360" s="9"/>
      <c r="E360" s="10"/>
      <c r="F360" s="10"/>
      <c r="G360" s="9"/>
      <c r="H360" s="10"/>
      <c r="I360" s="21" t="b">
        <v>0</v>
      </c>
    </row>
    <row r="361" ht="22.5" customHeight="1">
      <c r="A361" s="10"/>
      <c r="B361" s="31"/>
      <c r="C361" s="41"/>
      <c r="D361" s="9"/>
      <c r="E361" s="10"/>
      <c r="F361" s="10"/>
      <c r="G361" s="9"/>
      <c r="H361" s="10"/>
      <c r="I361" s="21" t="b">
        <v>0</v>
      </c>
    </row>
    <row r="362" ht="22.5" customHeight="1">
      <c r="A362" s="10"/>
      <c r="B362" s="31"/>
      <c r="C362" s="41"/>
      <c r="D362" s="9"/>
      <c r="E362" s="10"/>
      <c r="F362" s="10"/>
      <c r="G362" s="9"/>
      <c r="H362" s="10"/>
      <c r="I362" s="21" t="b">
        <v>0</v>
      </c>
    </row>
    <row r="363" ht="22.5" customHeight="1">
      <c r="A363" s="10"/>
      <c r="B363" s="31"/>
      <c r="C363" s="41"/>
      <c r="D363" s="9"/>
      <c r="E363" s="10"/>
      <c r="F363" s="10"/>
      <c r="G363" s="9"/>
      <c r="H363" s="10"/>
      <c r="I363" s="21" t="b">
        <v>0</v>
      </c>
    </row>
    <row r="364" ht="22.5" customHeight="1">
      <c r="A364" s="10"/>
      <c r="B364" s="31"/>
      <c r="C364" s="41"/>
      <c r="D364" s="9"/>
      <c r="E364" s="10"/>
      <c r="F364" s="10"/>
      <c r="G364" s="9"/>
      <c r="H364" s="10"/>
      <c r="I364" s="21" t="b">
        <v>0</v>
      </c>
    </row>
    <row r="365" ht="22.5" customHeight="1">
      <c r="A365" s="10"/>
      <c r="B365" s="31"/>
      <c r="C365" s="41"/>
      <c r="D365" s="9"/>
      <c r="E365" s="10"/>
      <c r="F365" s="10"/>
      <c r="G365" s="9"/>
      <c r="H365" s="10"/>
      <c r="I365" s="21" t="b">
        <v>0</v>
      </c>
    </row>
    <row r="366" ht="22.5" customHeight="1">
      <c r="A366" s="10"/>
      <c r="B366" s="31"/>
      <c r="C366" s="41"/>
      <c r="D366" s="9"/>
      <c r="E366" s="10"/>
      <c r="F366" s="10"/>
      <c r="G366" s="9"/>
      <c r="H366" s="10"/>
      <c r="I366" s="21" t="b">
        <v>0</v>
      </c>
    </row>
    <row r="367" ht="22.5" customHeight="1">
      <c r="A367" s="10"/>
      <c r="B367" s="31"/>
      <c r="C367" s="41"/>
      <c r="D367" s="9"/>
      <c r="E367" s="10"/>
      <c r="F367" s="10"/>
      <c r="G367" s="9"/>
      <c r="H367" s="10"/>
      <c r="I367" s="21" t="b">
        <v>0</v>
      </c>
    </row>
    <row r="368" ht="22.5" customHeight="1">
      <c r="A368" s="10"/>
      <c r="B368" s="31"/>
      <c r="C368" s="41"/>
      <c r="D368" s="9"/>
      <c r="E368" s="10"/>
      <c r="F368" s="10"/>
      <c r="G368" s="9"/>
      <c r="H368" s="10"/>
      <c r="I368" s="21" t="b">
        <v>0</v>
      </c>
    </row>
    <row r="369" ht="22.5" customHeight="1">
      <c r="A369" s="10"/>
      <c r="B369" s="31"/>
      <c r="C369" s="41"/>
      <c r="D369" s="9"/>
      <c r="E369" s="10"/>
      <c r="F369" s="10"/>
      <c r="G369" s="9"/>
      <c r="H369" s="10"/>
      <c r="I369" s="21" t="b">
        <v>0</v>
      </c>
    </row>
    <row r="370" ht="22.5" customHeight="1">
      <c r="A370" s="10"/>
      <c r="B370" s="31"/>
      <c r="C370" s="41"/>
      <c r="D370" s="9"/>
      <c r="E370" s="10"/>
      <c r="F370" s="10"/>
      <c r="G370" s="9"/>
      <c r="H370" s="10"/>
      <c r="I370" s="21" t="b">
        <v>0</v>
      </c>
    </row>
    <row r="371" ht="22.5" customHeight="1">
      <c r="A371" s="10"/>
      <c r="B371" s="31"/>
      <c r="C371" s="41"/>
      <c r="D371" s="9"/>
      <c r="E371" s="10"/>
      <c r="F371" s="10"/>
      <c r="G371" s="9"/>
      <c r="H371" s="10"/>
      <c r="I371" s="21" t="b">
        <v>0</v>
      </c>
    </row>
    <row r="372" ht="22.5" customHeight="1">
      <c r="A372" s="10"/>
      <c r="B372" s="31"/>
      <c r="C372" s="41"/>
      <c r="D372" s="9"/>
      <c r="E372" s="10"/>
      <c r="F372" s="10"/>
      <c r="G372" s="9"/>
      <c r="H372" s="10"/>
      <c r="I372" s="21" t="b">
        <v>0</v>
      </c>
    </row>
    <row r="373" ht="22.5" customHeight="1">
      <c r="A373" s="10"/>
      <c r="B373" s="31"/>
      <c r="C373" s="41"/>
      <c r="D373" s="9"/>
      <c r="E373" s="10"/>
      <c r="F373" s="10"/>
      <c r="G373" s="9"/>
      <c r="H373" s="10"/>
      <c r="I373" s="21" t="b">
        <v>0</v>
      </c>
    </row>
    <row r="374" ht="22.5" customHeight="1">
      <c r="A374" s="10"/>
      <c r="B374" s="31"/>
      <c r="C374" s="41"/>
      <c r="D374" s="9"/>
      <c r="E374" s="10"/>
      <c r="F374" s="10"/>
      <c r="G374" s="9"/>
      <c r="H374" s="10"/>
      <c r="I374" s="21" t="b">
        <v>0</v>
      </c>
    </row>
    <row r="375" ht="22.5" customHeight="1">
      <c r="A375" s="10"/>
      <c r="B375" s="31"/>
      <c r="C375" s="41"/>
      <c r="D375" s="9"/>
      <c r="E375" s="10"/>
      <c r="F375" s="10"/>
      <c r="G375" s="9"/>
      <c r="H375" s="10"/>
      <c r="I375" s="21" t="b">
        <v>0</v>
      </c>
    </row>
    <row r="376" ht="22.5" customHeight="1">
      <c r="A376" s="10"/>
      <c r="B376" s="31"/>
      <c r="C376" s="41"/>
      <c r="D376" s="9"/>
      <c r="E376" s="10"/>
      <c r="F376" s="10"/>
      <c r="G376" s="9"/>
      <c r="H376" s="10"/>
      <c r="I376" s="21" t="b">
        <v>0</v>
      </c>
    </row>
    <row r="377" ht="22.5" customHeight="1">
      <c r="A377" s="10"/>
      <c r="B377" s="31"/>
      <c r="C377" s="41"/>
      <c r="D377" s="9"/>
      <c r="E377" s="10"/>
      <c r="F377" s="10"/>
      <c r="G377" s="9"/>
      <c r="H377" s="10"/>
      <c r="I377" s="21" t="b">
        <v>0</v>
      </c>
    </row>
    <row r="378" ht="22.5" customHeight="1">
      <c r="A378" s="10"/>
      <c r="B378" s="31"/>
      <c r="C378" s="41"/>
      <c r="D378" s="9"/>
      <c r="E378" s="10"/>
      <c r="F378" s="10"/>
      <c r="G378" s="9"/>
      <c r="H378" s="10"/>
      <c r="I378" s="21" t="b">
        <v>0</v>
      </c>
    </row>
    <row r="379" ht="22.5" customHeight="1">
      <c r="A379" s="10"/>
      <c r="B379" s="31"/>
      <c r="C379" s="41"/>
      <c r="D379" s="9"/>
      <c r="E379" s="10"/>
      <c r="F379" s="10"/>
      <c r="G379" s="9"/>
      <c r="H379" s="10"/>
      <c r="I379" s="21" t="b">
        <v>0</v>
      </c>
    </row>
    <row r="380" ht="22.5" customHeight="1">
      <c r="A380" s="10"/>
      <c r="B380" s="31"/>
      <c r="C380" s="41"/>
      <c r="D380" s="9"/>
      <c r="E380" s="10"/>
      <c r="F380" s="10"/>
      <c r="G380" s="9"/>
      <c r="H380" s="10"/>
      <c r="I380" s="21" t="b">
        <v>0</v>
      </c>
    </row>
    <row r="381" ht="22.5" customHeight="1">
      <c r="A381" s="10"/>
      <c r="B381" s="31"/>
      <c r="C381" s="41"/>
      <c r="D381" s="9"/>
      <c r="E381" s="10"/>
      <c r="F381" s="10"/>
      <c r="G381" s="9"/>
      <c r="H381" s="10"/>
      <c r="I381" s="21" t="b">
        <v>0</v>
      </c>
    </row>
    <row r="382" ht="22.5" customHeight="1">
      <c r="A382" s="10"/>
      <c r="B382" s="31"/>
      <c r="C382" s="41"/>
      <c r="D382" s="9"/>
      <c r="E382" s="10"/>
      <c r="F382" s="10"/>
      <c r="G382" s="9"/>
      <c r="H382" s="10"/>
      <c r="I382" s="21" t="b">
        <v>0</v>
      </c>
    </row>
    <row r="383" ht="22.5" customHeight="1">
      <c r="A383" s="10"/>
      <c r="B383" s="31"/>
      <c r="C383" s="41"/>
      <c r="D383" s="9"/>
      <c r="E383" s="10"/>
      <c r="F383" s="10"/>
      <c r="G383" s="9"/>
      <c r="H383" s="10"/>
      <c r="I383" s="21" t="b">
        <v>0</v>
      </c>
    </row>
    <row r="384" ht="22.5" customHeight="1">
      <c r="A384" s="10"/>
      <c r="B384" s="31"/>
      <c r="C384" s="41"/>
      <c r="D384" s="9"/>
      <c r="E384" s="10"/>
      <c r="F384" s="10"/>
      <c r="G384" s="9"/>
      <c r="H384" s="10"/>
      <c r="I384" s="21" t="b">
        <v>0</v>
      </c>
    </row>
    <row r="385" ht="22.5" customHeight="1">
      <c r="A385" s="10"/>
      <c r="B385" s="31"/>
      <c r="C385" s="41"/>
      <c r="D385" s="9"/>
      <c r="E385" s="10"/>
      <c r="F385" s="10"/>
      <c r="G385" s="9"/>
      <c r="H385" s="10"/>
      <c r="I385" s="21" t="b">
        <v>0</v>
      </c>
    </row>
    <row r="386" ht="22.5" customHeight="1">
      <c r="A386" s="10"/>
      <c r="B386" s="31"/>
      <c r="C386" s="41"/>
      <c r="D386" s="9"/>
      <c r="E386" s="10"/>
      <c r="F386" s="10"/>
      <c r="G386" s="9"/>
      <c r="H386" s="10"/>
      <c r="I386" s="21" t="b">
        <v>0</v>
      </c>
    </row>
    <row r="387" ht="22.5" customHeight="1">
      <c r="A387" s="10"/>
      <c r="B387" s="31"/>
      <c r="C387" s="41"/>
      <c r="D387" s="9"/>
      <c r="E387" s="10"/>
      <c r="F387" s="10"/>
      <c r="G387" s="9"/>
      <c r="H387" s="10"/>
      <c r="I387" s="21" t="b">
        <v>0</v>
      </c>
    </row>
    <row r="388" ht="22.5" customHeight="1">
      <c r="A388" s="10"/>
      <c r="B388" s="31"/>
      <c r="C388" s="41"/>
      <c r="D388" s="9"/>
      <c r="E388" s="10"/>
      <c r="F388" s="10"/>
      <c r="G388" s="9"/>
      <c r="H388" s="10"/>
      <c r="I388" s="21" t="b">
        <v>0</v>
      </c>
    </row>
    <row r="389" ht="22.5" customHeight="1">
      <c r="A389" s="10"/>
      <c r="B389" s="31"/>
      <c r="C389" s="41"/>
      <c r="D389" s="9"/>
      <c r="E389" s="10"/>
      <c r="F389" s="10"/>
      <c r="G389" s="9"/>
      <c r="H389" s="10"/>
      <c r="I389" s="21" t="b">
        <v>0</v>
      </c>
    </row>
    <row r="390" ht="22.5" customHeight="1">
      <c r="A390" s="10"/>
      <c r="B390" s="31"/>
      <c r="C390" s="41"/>
      <c r="D390" s="9"/>
      <c r="E390" s="10"/>
      <c r="F390" s="10"/>
      <c r="G390" s="9"/>
      <c r="H390" s="10"/>
      <c r="I390" s="21" t="b">
        <v>0</v>
      </c>
    </row>
    <row r="391" ht="22.5" customHeight="1">
      <c r="A391" s="10"/>
      <c r="B391" s="31"/>
      <c r="C391" s="41"/>
      <c r="D391" s="9"/>
      <c r="E391" s="10"/>
      <c r="F391" s="10"/>
      <c r="G391" s="9"/>
      <c r="H391" s="10"/>
      <c r="I391" s="21" t="b">
        <v>0</v>
      </c>
    </row>
    <row r="392" ht="22.5" customHeight="1">
      <c r="A392" s="10"/>
      <c r="B392" s="31"/>
      <c r="C392" s="41"/>
      <c r="D392" s="9"/>
      <c r="E392" s="10"/>
      <c r="F392" s="10"/>
      <c r="G392" s="9"/>
      <c r="H392" s="10"/>
      <c r="I392" s="21" t="b">
        <v>0</v>
      </c>
    </row>
    <row r="393" ht="22.5" customHeight="1">
      <c r="A393" s="10"/>
      <c r="B393" s="31"/>
      <c r="C393" s="41"/>
      <c r="D393" s="9"/>
      <c r="E393" s="10"/>
      <c r="F393" s="10"/>
      <c r="G393" s="9"/>
      <c r="H393" s="10"/>
      <c r="I393" s="21" t="b">
        <v>0</v>
      </c>
    </row>
    <row r="394" ht="22.5" customHeight="1">
      <c r="A394" s="10"/>
      <c r="B394" s="31"/>
      <c r="C394" s="41"/>
      <c r="D394" s="9"/>
      <c r="E394" s="10"/>
      <c r="F394" s="10"/>
      <c r="G394" s="9"/>
      <c r="H394" s="10"/>
      <c r="I394" s="21" t="b">
        <v>0</v>
      </c>
    </row>
    <row r="395" ht="22.5" customHeight="1">
      <c r="A395" s="10"/>
      <c r="B395" s="31"/>
      <c r="C395" s="41"/>
      <c r="D395" s="9"/>
      <c r="E395" s="10"/>
      <c r="F395" s="10"/>
      <c r="G395" s="9"/>
      <c r="H395" s="10"/>
      <c r="I395" s="21" t="b">
        <v>0</v>
      </c>
    </row>
    <row r="396" ht="22.5" customHeight="1">
      <c r="A396" s="10"/>
      <c r="B396" s="31"/>
      <c r="C396" s="41"/>
      <c r="D396" s="9"/>
      <c r="E396" s="10"/>
      <c r="F396" s="10"/>
      <c r="G396" s="9"/>
      <c r="H396" s="10"/>
      <c r="I396" s="21" t="b">
        <v>0</v>
      </c>
    </row>
    <row r="397" ht="22.5" customHeight="1">
      <c r="A397" s="10"/>
      <c r="B397" s="31"/>
      <c r="C397" s="41"/>
      <c r="D397" s="9"/>
      <c r="E397" s="10"/>
      <c r="F397" s="10"/>
      <c r="G397" s="9"/>
      <c r="H397" s="10"/>
      <c r="I397" s="21" t="b">
        <v>0</v>
      </c>
    </row>
    <row r="398" ht="22.5" customHeight="1">
      <c r="A398" s="10"/>
      <c r="B398" s="31"/>
      <c r="C398" s="41"/>
      <c r="D398" s="9"/>
      <c r="E398" s="10"/>
      <c r="F398" s="10"/>
      <c r="G398" s="9"/>
      <c r="H398" s="10"/>
      <c r="I398" s="21" t="b">
        <v>0</v>
      </c>
    </row>
    <row r="399" ht="22.5" customHeight="1">
      <c r="A399" s="10"/>
      <c r="B399" s="31"/>
      <c r="C399" s="41"/>
      <c r="D399" s="9"/>
      <c r="E399" s="10"/>
      <c r="F399" s="10"/>
      <c r="G399" s="9"/>
      <c r="H399" s="10"/>
      <c r="I399" s="21" t="b">
        <v>0</v>
      </c>
    </row>
    <row r="400" ht="22.5" customHeight="1">
      <c r="A400" s="10"/>
      <c r="B400" s="31"/>
      <c r="C400" s="41"/>
      <c r="D400" s="9"/>
      <c r="E400" s="10"/>
      <c r="F400" s="10"/>
      <c r="G400" s="9"/>
      <c r="H400" s="10"/>
      <c r="I400" s="21" t="b">
        <v>0</v>
      </c>
    </row>
    <row r="401" ht="22.5" customHeight="1">
      <c r="A401" s="10"/>
      <c r="B401" s="31"/>
      <c r="C401" s="41"/>
      <c r="D401" s="9"/>
      <c r="E401" s="10"/>
      <c r="F401" s="10"/>
      <c r="G401" s="9"/>
      <c r="H401" s="10"/>
      <c r="I401" s="21" t="b">
        <v>0</v>
      </c>
    </row>
    <row r="402" ht="22.5" customHeight="1">
      <c r="A402" s="10"/>
      <c r="B402" s="31"/>
      <c r="C402" s="41"/>
      <c r="D402" s="9"/>
      <c r="E402" s="10"/>
      <c r="F402" s="10"/>
      <c r="G402" s="9"/>
      <c r="H402" s="10"/>
      <c r="I402" s="21" t="b">
        <v>0</v>
      </c>
    </row>
    <row r="403" ht="22.5" customHeight="1">
      <c r="A403" s="10"/>
      <c r="B403" s="31"/>
      <c r="C403" s="41"/>
      <c r="D403" s="9"/>
      <c r="E403" s="10"/>
      <c r="F403" s="10"/>
      <c r="G403" s="9"/>
      <c r="H403" s="10"/>
      <c r="I403" s="21" t="b">
        <v>0</v>
      </c>
    </row>
    <row r="404" ht="22.5" customHeight="1">
      <c r="A404" s="10"/>
      <c r="B404" s="31"/>
      <c r="C404" s="41"/>
      <c r="D404" s="9"/>
      <c r="E404" s="10"/>
      <c r="F404" s="10"/>
      <c r="G404" s="9"/>
      <c r="H404" s="10"/>
      <c r="I404" s="21" t="b">
        <v>0</v>
      </c>
    </row>
    <row r="405" ht="22.5" customHeight="1">
      <c r="A405" s="10"/>
      <c r="B405" s="31"/>
      <c r="C405" s="41"/>
      <c r="D405" s="9"/>
      <c r="E405" s="10"/>
      <c r="F405" s="10"/>
      <c r="G405" s="9"/>
      <c r="H405" s="10"/>
      <c r="I405" s="21" t="b">
        <v>0</v>
      </c>
    </row>
    <row r="406" ht="22.5" customHeight="1">
      <c r="A406" s="10"/>
      <c r="B406" s="31"/>
      <c r="C406" s="41"/>
      <c r="D406" s="9"/>
      <c r="E406" s="10"/>
      <c r="F406" s="10"/>
      <c r="G406" s="9"/>
      <c r="H406" s="10"/>
      <c r="I406" s="21" t="b">
        <v>0</v>
      </c>
    </row>
    <row r="407" ht="22.5" customHeight="1">
      <c r="A407" s="10"/>
      <c r="B407" s="31"/>
      <c r="C407" s="41"/>
      <c r="D407" s="9"/>
      <c r="E407" s="10"/>
      <c r="F407" s="10"/>
      <c r="G407" s="9"/>
      <c r="H407" s="10"/>
      <c r="I407" s="21" t="b">
        <v>0</v>
      </c>
    </row>
    <row r="408" ht="22.5" customHeight="1">
      <c r="A408" s="10"/>
      <c r="B408" s="31"/>
      <c r="C408" s="41"/>
      <c r="D408" s="9"/>
      <c r="E408" s="10"/>
      <c r="F408" s="10"/>
      <c r="G408" s="9"/>
      <c r="H408" s="10"/>
      <c r="I408" s="21" t="b">
        <v>0</v>
      </c>
    </row>
    <row r="409" ht="22.5" customHeight="1">
      <c r="A409" s="10"/>
      <c r="B409" s="31"/>
      <c r="C409" s="41"/>
      <c r="D409" s="9"/>
      <c r="E409" s="10"/>
      <c r="F409" s="10"/>
      <c r="G409" s="9"/>
      <c r="H409" s="10"/>
      <c r="I409" s="21" t="b">
        <v>0</v>
      </c>
    </row>
    <row r="410" ht="22.5" customHeight="1">
      <c r="A410" s="10"/>
      <c r="B410" s="31"/>
      <c r="C410" s="41"/>
      <c r="D410" s="9"/>
      <c r="E410" s="10"/>
      <c r="F410" s="10"/>
      <c r="G410" s="9"/>
      <c r="H410" s="10"/>
      <c r="I410" s="21" t="b">
        <v>0</v>
      </c>
    </row>
    <row r="411" ht="22.5" customHeight="1">
      <c r="A411" s="10"/>
      <c r="B411" s="31"/>
      <c r="C411" s="41"/>
      <c r="D411" s="9"/>
      <c r="E411" s="10"/>
      <c r="F411" s="10"/>
      <c r="G411" s="9"/>
      <c r="H411" s="10"/>
      <c r="I411" s="21" t="b">
        <v>0</v>
      </c>
    </row>
    <row r="412" ht="22.5" customHeight="1">
      <c r="A412" s="10"/>
      <c r="B412" s="31"/>
      <c r="C412" s="41"/>
      <c r="D412" s="9"/>
      <c r="E412" s="10"/>
      <c r="F412" s="10"/>
      <c r="G412" s="9"/>
      <c r="H412" s="10"/>
      <c r="I412" s="21" t="b">
        <v>0</v>
      </c>
    </row>
    <row r="413" ht="22.5" customHeight="1">
      <c r="A413" s="10"/>
      <c r="B413" s="31"/>
      <c r="C413" s="41"/>
      <c r="D413" s="9"/>
      <c r="E413" s="10"/>
      <c r="F413" s="10"/>
      <c r="G413" s="9"/>
      <c r="H413" s="10"/>
      <c r="I413" s="21" t="b">
        <v>0</v>
      </c>
    </row>
    <row r="414" ht="22.5" customHeight="1">
      <c r="A414" s="10"/>
      <c r="B414" s="31"/>
      <c r="C414" s="41"/>
      <c r="D414" s="9"/>
      <c r="E414" s="10"/>
      <c r="F414" s="10"/>
      <c r="G414" s="9"/>
      <c r="H414" s="10"/>
      <c r="I414" s="21" t="b">
        <v>0</v>
      </c>
    </row>
    <row r="415" ht="22.5" customHeight="1">
      <c r="A415" s="10"/>
      <c r="B415" s="31"/>
      <c r="C415" s="41"/>
      <c r="D415" s="9"/>
      <c r="E415" s="10"/>
      <c r="F415" s="10"/>
      <c r="G415" s="9"/>
      <c r="H415" s="10"/>
      <c r="I415" s="21" t="b">
        <v>0</v>
      </c>
    </row>
    <row r="416" ht="22.5" customHeight="1">
      <c r="A416" s="10"/>
      <c r="B416" s="31"/>
      <c r="C416" s="41"/>
      <c r="D416" s="9"/>
      <c r="E416" s="10"/>
      <c r="F416" s="10"/>
      <c r="G416" s="9"/>
      <c r="H416" s="10"/>
      <c r="I416" s="21" t="b">
        <v>0</v>
      </c>
    </row>
    <row r="417" ht="22.5" customHeight="1">
      <c r="A417" s="10"/>
      <c r="B417" s="31"/>
      <c r="C417" s="41"/>
      <c r="D417" s="9"/>
      <c r="E417" s="10"/>
      <c r="F417" s="10"/>
      <c r="G417" s="9"/>
      <c r="H417" s="10"/>
      <c r="I417" s="21" t="b">
        <v>0</v>
      </c>
    </row>
    <row r="418" ht="22.5" customHeight="1">
      <c r="A418" s="10"/>
      <c r="B418" s="31"/>
      <c r="C418" s="41"/>
      <c r="D418" s="9"/>
      <c r="E418" s="10"/>
      <c r="F418" s="10"/>
      <c r="G418" s="9"/>
      <c r="H418" s="10"/>
      <c r="I418" s="21" t="b">
        <v>0</v>
      </c>
    </row>
    <row r="419" ht="22.5" customHeight="1">
      <c r="A419" s="10"/>
      <c r="B419" s="31"/>
      <c r="C419" s="41"/>
      <c r="D419" s="9"/>
      <c r="E419" s="10"/>
      <c r="F419" s="10"/>
      <c r="G419" s="9"/>
      <c r="H419" s="10"/>
      <c r="I419" s="21" t="b">
        <v>0</v>
      </c>
    </row>
    <row r="420" ht="22.5" customHeight="1">
      <c r="A420" s="10"/>
      <c r="B420" s="31"/>
      <c r="C420" s="41"/>
      <c r="D420" s="9"/>
      <c r="E420" s="10"/>
      <c r="F420" s="10"/>
      <c r="G420" s="9"/>
      <c r="H420" s="10"/>
      <c r="I420" s="21" t="b">
        <v>0</v>
      </c>
    </row>
    <row r="421" ht="22.5" customHeight="1">
      <c r="A421" s="10"/>
      <c r="B421" s="31"/>
      <c r="C421" s="41"/>
      <c r="D421" s="9"/>
      <c r="E421" s="10"/>
      <c r="F421" s="10"/>
      <c r="G421" s="9"/>
      <c r="H421" s="10"/>
      <c r="I421" s="21" t="b">
        <v>0</v>
      </c>
    </row>
    <row r="422" ht="22.5" customHeight="1">
      <c r="A422" s="10"/>
      <c r="B422" s="31"/>
      <c r="C422" s="41"/>
      <c r="D422" s="9"/>
      <c r="E422" s="10"/>
      <c r="F422" s="10"/>
      <c r="G422" s="9"/>
      <c r="H422" s="10"/>
      <c r="I422" s="21" t="b">
        <v>0</v>
      </c>
    </row>
    <row r="423" ht="22.5" customHeight="1">
      <c r="A423" s="10"/>
      <c r="B423" s="31"/>
      <c r="C423" s="41"/>
      <c r="D423" s="9"/>
      <c r="E423" s="10"/>
      <c r="F423" s="10"/>
      <c r="G423" s="9"/>
      <c r="H423" s="10"/>
      <c r="I423" s="21" t="b">
        <v>0</v>
      </c>
    </row>
    <row r="424" ht="22.5" customHeight="1">
      <c r="A424" s="10"/>
      <c r="B424" s="31"/>
      <c r="C424" s="41"/>
      <c r="D424" s="9"/>
      <c r="E424" s="10"/>
      <c r="F424" s="10"/>
      <c r="G424" s="9"/>
      <c r="H424" s="10"/>
      <c r="I424" s="21" t="b">
        <v>0</v>
      </c>
    </row>
    <row r="425" ht="22.5" customHeight="1">
      <c r="A425" s="10"/>
      <c r="B425" s="31"/>
      <c r="C425" s="41"/>
      <c r="D425" s="9"/>
      <c r="E425" s="10"/>
      <c r="F425" s="10"/>
      <c r="G425" s="9"/>
      <c r="H425" s="10"/>
      <c r="I425" s="21" t="b">
        <v>0</v>
      </c>
    </row>
    <row r="426" ht="22.5" customHeight="1">
      <c r="A426" s="10"/>
      <c r="B426" s="31"/>
      <c r="C426" s="41"/>
      <c r="D426" s="9"/>
      <c r="E426" s="10"/>
      <c r="F426" s="10"/>
      <c r="G426" s="9"/>
      <c r="H426" s="10"/>
      <c r="I426" s="21" t="b">
        <v>0</v>
      </c>
    </row>
    <row r="427" ht="22.5" customHeight="1">
      <c r="A427" s="10"/>
      <c r="B427" s="31"/>
      <c r="C427" s="41"/>
      <c r="D427" s="9"/>
      <c r="E427" s="10"/>
      <c r="F427" s="10"/>
      <c r="G427" s="9"/>
      <c r="H427" s="10"/>
      <c r="I427" s="21" t="b">
        <v>0</v>
      </c>
    </row>
    <row r="428" ht="22.5" customHeight="1">
      <c r="A428" s="10"/>
      <c r="B428" s="31"/>
      <c r="C428" s="41"/>
      <c r="D428" s="9"/>
      <c r="E428" s="10"/>
      <c r="F428" s="10"/>
      <c r="G428" s="9"/>
      <c r="H428" s="10"/>
      <c r="I428" s="21" t="b">
        <v>0</v>
      </c>
    </row>
    <row r="429" ht="22.5" customHeight="1">
      <c r="A429" s="10"/>
      <c r="B429" s="31"/>
      <c r="C429" s="41"/>
      <c r="D429" s="9"/>
      <c r="E429" s="10"/>
      <c r="F429" s="10"/>
      <c r="G429" s="9"/>
      <c r="H429" s="10"/>
      <c r="I429" s="21" t="b">
        <v>0</v>
      </c>
    </row>
    <row r="430" ht="22.5" customHeight="1">
      <c r="A430" s="10"/>
      <c r="B430" s="31"/>
      <c r="C430" s="41"/>
      <c r="D430" s="9"/>
      <c r="E430" s="10"/>
      <c r="F430" s="10"/>
      <c r="G430" s="9"/>
      <c r="H430" s="10"/>
      <c r="I430" s="21" t="b">
        <v>0</v>
      </c>
    </row>
    <row r="431" ht="22.5" customHeight="1">
      <c r="A431" s="10"/>
      <c r="B431" s="31"/>
      <c r="C431" s="41"/>
      <c r="D431" s="9"/>
      <c r="E431" s="10"/>
      <c r="F431" s="10"/>
      <c r="G431" s="9"/>
      <c r="H431" s="10"/>
      <c r="I431" s="21" t="b">
        <v>0</v>
      </c>
    </row>
    <row r="432" ht="22.5" customHeight="1">
      <c r="A432" s="10"/>
      <c r="B432" s="31"/>
      <c r="C432" s="41"/>
      <c r="D432" s="9"/>
      <c r="E432" s="10"/>
      <c r="F432" s="10"/>
      <c r="G432" s="9"/>
      <c r="H432" s="10"/>
      <c r="I432" s="21" t="b">
        <v>0</v>
      </c>
    </row>
    <row r="433" ht="22.5" customHeight="1">
      <c r="A433" s="10"/>
      <c r="B433" s="31"/>
      <c r="C433" s="41"/>
      <c r="D433" s="9"/>
      <c r="E433" s="10"/>
      <c r="F433" s="10"/>
      <c r="G433" s="9"/>
      <c r="H433" s="10"/>
      <c r="I433" s="21" t="b">
        <v>0</v>
      </c>
    </row>
    <row r="434" ht="22.5" customHeight="1">
      <c r="A434" s="10"/>
      <c r="B434" s="31"/>
      <c r="C434" s="41"/>
      <c r="D434" s="9"/>
      <c r="E434" s="10"/>
      <c r="F434" s="10"/>
      <c r="G434" s="9"/>
      <c r="H434" s="10"/>
      <c r="I434" s="21" t="b">
        <v>0</v>
      </c>
    </row>
    <row r="435" ht="22.5" customHeight="1">
      <c r="A435" s="10"/>
      <c r="B435" s="31"/>
      <c r="C435" s="41"/>
      <c r="D435" s="9"/>
      <c r="E435" s="10"/>
      <c r="F435" s="10"/>
      <c r="G435" s="9"/>
      <c r="H435" s="10"/>
      <c r="I435" s="21" t="b">
        <v>0</v>
      </c>
    </row>
    <row r="436" ht="22.5" customHeight="1">
      <c r="A436" s="10"/>
      <c r="B436" s="31"/>
      <c r="C436" s="41"/>
      <c r="D436" s="9"/>
      <c r="E436" s="10"/>
      <c r="F436" s="10"/>
      <c r="G436" s="9"/>
      <c r="H436" s="10"/>
      <c r="I436" s="21" t="b">
        <v>0</v>
      </c>
    </row>
    <row r="437" ht="22.5" customHeight="1">
      <c r="A437" s="10"/>
      <c r="B437" s="31"/>
      <c r="C437" s="41"/>
      <c r="D437" s="9"/>
      <c r="E437" s="10"/>
      <c r="F437" s="10"/>
      <c r="G437" s="9"/>
      <c r="H437" s="10"/>
      <c r="I437" s="21" t="b">
        <v>0</v>
      </c>
    </row>
    <row r="438" ht="22.5" customHeight="1">
      <c r="A438" s="10"/>
      <c r="B438" s="31"/>
      <c r="C438" s="41"/>
      <c r="D438" s="9"/>
      <c r="E438" s="10"/>
      <c r="F438" s="10"/>
      <c r="G438" s="9"/>
      <c r="H438" s="10"/>
      <c r="I438" s="21" t="b">
        <v>0</v>
      </c>
    </row>
    <row r="439" ht="22.5" customHeight="1">
      <c r="A439" s="10"/>
      <c r="B439" s="31"/>
      <c r="C439" s="41"/>
      <c r="D439" s="9"/>
      <c r="E439" s="10"/>
      <c r="F439" s="10"/>
      <c r="G439" s="9"/>
      <c r="H439" s="10"/>
      <c r="I439" s="21" t="b">
        <v>0</v>
      </c>
    </row>
    <row r="440" ht="22.5" customHeight="1">
      <c r="A440" s="10"/>
      <c r="B440" s="31"/>
      <c r="C440" s="41"/>
      <c r="D440" s="9"/>
      <c r="E440" s="10"/>
      <c r="F440" s="10"/>
      <c r="G440" s="9"/>
      <c r="H440" s="10"/>
      <c r="I440" s="21" t="b">
        <v>0</v>
      </c>
    </row>
    <row r="441" ht="22.5" customHeight="1">
      <c r="A441" s="10"/>
      <c r="B441" s="31"/>
      <c r="C441" s="41"/>
      <c r="D441" s="9"/>
      <c r="E441" s="10"/>
      <c r="F441" s="10"/>
      <c r="G441" s="9"/>
      <c r="H441" s="10"/>
      <c r="I441" s="21" t="b">
        <v>0</v>
      </c>
    </row>
    <row r="442" ht="22.5" customHeight="1">
      <c r="A442" s="10"/>
      <c r="B442" s="31"/>
      <c r="C442" s="41"/>
      <c r="D442" s="9"/>
      <c r="E442" s="10"/>
      <c r="F442" s="10"/>
      <c r="G442" s="9"/>
      <c r="H442" s="10"/>
      <c r="I442" s="21" t="b">
        <v>0</v>
      </c>
    </row>
    <row r="443" ht="22.5" customHeight="1">
      <c r="A443" s="10"/>
      <c r="B443" s="31"/>
      <c r="C443" s="41"/>
      <c r="D443" s="9"/>
      <c r="E443" s="10"/>
      <c r="F443" s="10"/>
      <c r="G443" s="9"/>
      <c r="H443" s="10"/>
      <c r="I443" s="21" t="b">
        <v>0</v>
      </c>
    </row>
    <row r="444" ht="22.5" customHeight="1">
      <c r="A444" s="10"/>
      <c r="B444" s="31"/>
      <c r="C444" s="41"/>
      <c r="D444" s="9"/>
      <c r="E444" s="10"/>
      <c r="F444" s="10"/>
      <c r="G444" s="9"/>
      <c r="H444" s="10"/>
      <c r="I444" s="21" t="b">
        <v>0</v>
      </c>
    </row>
    <row r="445" ht="22.5" customHeight="1">
      <c r="A445" s="10"/>
      <c r="B445" s="31"/>
      <c r="C445" s="41"/>
      <c r="D445" s="9"/>
      <c r="E445" s="10"/>
      <c r="F445" s="10"/>
      <c r="G445" s="9"/>
      <c r="H445" s="10"/>
      <c r="I445" s="21" t="b">
        <v>0</v>
      </c>
    </row>
    <row r="446" ht="22.5" customHeight="1">
      <c r="A446" s="10"/>
      <c r="B446" s="31"/>
      <c r="C446" s="41"/>
      <c r="D446" s="9"/>
      <c r="E446" s="10"/>
      <c r="F446" s="10"/>
      <c r="G446" s="9"/>
      <c r="H446" s="10"/>
      <c r="I446" s="21" t="b">
        <v>0</v>
      </c>
    </row>
    <row r="447" ht="22.5" customHeight="1">
      <c r="A447" s="10"/>
      <c r="B447" s="31"/>
      <c r="C447" s="41"/>
      <c r="D447" s="9"/>
      <c r="E447" s="10"/>
      <c r="F447" s="10"/>
      <c r="G447" s="9"/>
      <c r="H447" s="10"/>
      <c r="I447" s="21" t="b">
        <v>0</v>
      </c>
    </row>
    <row r="448" ht="22.5" customHeight="1">
      <c r="A448" s="10"/>
      <c r="B448" s="31"/>
      <c r="C448" s="41"/>
      <c r="D448" s="9"/>
      <c r="E448" s="10"/>
      <c r="F448" s="10"/>
      <c r="G448" s="9"/>
      <c r="H448" s="10"/>
      <c r="I448" s="21" t="b">
        <v>0</v>
      </c>
    </row>
    <row r="449" ht="22.5" customHeight="1">
      <c r="A449" s="10"/>
      <c r="B449" s="31"/>
      <c r="C449" s="41"/>
      <c r="D449" s="9"/>
      <c r="E449" s="10"/>
      <c r="F449" s="10"/>
      <c r="G449" s="9"/>
      <c r="H449" s="10"/>
      <c r="I449" s="21" t="b">
        <v>0</v>
      </c>
    </row>
    <row r="450" ht="22.5" customHeight="1">
      <c r="A450" s="10"/>
      <c r="B450" s="31"/>
      <c r="C450" s="41"/>
      <c r="D450" s="9"/>
      <c r="E450" s="10"/>
      <c r="F450" s="10"/>
      <c r="G450" s="9"/>
      <c r="H450" s="10"/>
      <c r="I450" s="21" t="b">
        <v>0</v>
      </c>
    </row>
    <row r="451" ht="22.5" customHeight="1">
      <c r="A451" s="10"/>
      <c r="B451" s="31"/>
      <c r="C451" s="41"/>
      <c r="D451" s="9"/>
      <c r="E451" s="10"/>
      <c r="F451" s="10"/>
      <c r="G451" s="9"/>
      <c r="H451" s="10"/>
      <c r="I451" s="21" t="b">
        <v>0</v>
      </c>
    </row>
    <row r="452" ht="22.5" customHeight="1">
      <c r="A452" s="10"/>
      <c r="B452" s="31"/>
      <c r="C452" s="41"/>
      <c r="D452" s="9"/>
      <c r="E452" s="10"/>
      <c r="F452" s="10"/>
      <c r="G452" s="9"/>
      <c r="H452" s="10"/>
      <c r="I452" s="21" t="b">
        <v>0</v>
      </c>
    </row>
    <row r="453" ht="22.5" customHeight="1">
      <c r="A453" s="10"/>
      <c r="B453" s="31"/>
      <c r="C453" s="41"/>
      <c r="D453" s="9"/>
      <c r="E453" s="10"/>
      <c r="F453" s="10"/>
      <c r="G453" s="9"/>
      <c r="H453" s="10"/>
      <c r="I453" s="21" t="b">
        <v>0</v>
      </c>
    </row>
    <row r="454" ht="22.5" customHeight="1">
      <c r="A454" s="10"/>
      <c r="B454" s="31"/>
      <c r="C454" s="41"/>
      <c r="D454" s="9"/>
      <c r="E454" s="10"/>
      <c r="F454" s="10"/>
      <c r="G454" s="9"/>
      <c r="H454" s="10"/>
      <c r="I454" s="21" t="b">
        <v>0</v>
      </c>
    </row>
    <row r="455" ht="22.5" customHeight="1">
      <c r="A455" s="10"/>
      <c r="B455" s="31"/>
      <c r="C455" s="41"/>
      <c r="D455" s="9"/>
      <c r="E455" s="10"/>
      <c r="F455" s="10"/>
      <c r="G455" s="9"/>
      <c r="H455" s="10"/>
      <c r="I455" s="21" t="b">
        <v>0</v>
      </c>
    </row>
    <row r="456" ht="22.5" customHeight="1">
      <c r="A456" s="10"/>
      <c r="B456" s="31"/>
      <c r="C456" s="41"/>
      <c r="D456" s="9"/>
      <c r="E456" s="10"/>
      <c r="F456" s="10"/>
      <c r="G456" s="9"/>
      <c r="H456" s="10"/>
      <c r="I456" s="21" t="b">
        <v>0</v>
      </c>
    </row>
    <row r="457" ht="22.5" customHeight="1">
      <c r="A457" s="10"/>
      <c r="B457" s="31"/>
      <c r="C457" s="41"/>
      <c r="D457" s="9"/>
      <c r="E457" s="10"/>
      <c r="F457" s="10"/>
      <c r="G457" s="9"/>
      <c r="H457" s="10"/>
      <c r="I457" s="21" t="b">
        <v>0</v>
      </c>
    </row>
    <row r="458" ht="22.5" customHeight="1">
      <c r="A458" s="10"/>
      <c r="B458" s="31"/>
      <c r="C458" s="41"/>
      <c r="D458" s="9"/>
      <c r="E458" s="10"/>
      <c r="F458" s="10"/>
      <c r="G458" s="9"/>
      <c r="H458" s="10"/>
      <c r="I458" s="21" t="b">
        <v>0</v>
      </c>
    </row>
    <row r="459" ht="22.5" customHeight="1">
      <c r="A459" s="10"/>
      <c r="B459" s="31"/>
      <c r="C459" s="41"/>
      <c r="D459" s="9"/>
      <c r="E459" s="10"/>
      <c r="F459" s="10"/>
      <c r="G459" s="9"/>
      <c r="H459" s="10"/>
      <c r="I459" s="21" t="b">
        <v>0</v>
      </c>
    </row>
    <row r="460" ht="22.5" customHeight="1">
      <c r="A460" s="10"/>
      <c r="B460" s="31"/>
      <c r="C460" s="41"/>
      <c r="D460" s="9"/>
      <c r="E460" s="10"/>
      <c r="F460" s="10"/>
      <c r="G460" s="9"/>
      <c r="H460" s="10"/>
      <c r="I460" s="21" t="b">
        <v>0</v>
      </c>
    </row>
    <row r="461" ht="22.5" customHeight="1">
      <c r="A461" s="10"/>
      <c r="B461" s="31"/>
      <c r="C461" s="41"/>
      <c r="D461" s="9"/>
      <c r="E461" s="10"/>
      <c r="F461" s="10"/>
      <c r="G461" s="9"/>
      <c r="H461" s="10"/>
      <c r="I461" s="21" t="b">
        <v>0</v>
      </c>
    </row>
    <row r="462" ht="22.5" customHeight="1">
      <c r="A462" s="10"/>
      <c r="B462" s="31"/>
      <c r="C462" s="41"/>
      <c r="D462" s="9"/>
      <c r="E462" s="10"/>
      <c r="F462" s="10"/>
      <c r="G462" s="9"/>
      <c r="H462" s="10"/>
      <c r="I462" s="21" t="b">
        <v>0</v>
      </c>
    </row>
    <row r="463" ht="22.5" customHeight="1">
      <c r="A463" s="10"/>
      <c r="B463" s="31"/>
      <c r="C463" s="41"/>
      <c r="D463" s="9"/>
      <c r="E463" s="10"/>
      <c r="F463" s="10"/>
      <c r="G463" s="9"/>
      <c r="H463" s="10"/>
      <c r="I463" s="21" t="b">
        <v>0</v>
      </c>
    </row>
    <row r="464" ht="22.5" customHeight="1">
      <c r="A464" s="10"/>
      <c r="B464" s="31"/>
      <c r="C464" s="41"/>
      <c r="D464" s="9"/>
      <c r="E464" s="10"/>
      <c r="F464" s="10"/>
      <c r="G464" s="9"/>
      <c r="H464" s="10"/>
      <c r="I464" s="21" t="b">
        <v>0</v>
      </c>
    </row>
    <row r="465" ht="22.5" customHeight="1">
      <c r="A465" s="10"/>
      <c r="B465" s="31"/>
      <c r="C465" s="41"/>
      <c r="D465" s="9"/>
      <c r="E465" s="10"/>
      <c r="F465" s="10"/>
      <c r="G465" s="9"/>
      <c r="H465" s="10"/>
      <c r="I465" s="21" t="b">
        <v>0</v>
      </c>
    </row>
    <row r="466" ht="22.5" customHeight="1">
      <c r="A466" s="10"/>
      <c r="B466" s="31"/>
      <c r="C466" s="41"/>
      <c r="D466" s="9"/>
      <c r="E466" s="10"/>
      <c r="F466" s="10"/>
      <c r="G466" s="9"/>
      <c r="H466" s="10"/>
      <c r="I466" s="21" t="b">
        <v>0</v>
      </c>
    </row>
    <row r="467" ht="22.5" customHeight="1">
      <c r="A467" s="10"/>
      <c r="B467" s="31"/>
      <c r="C467" s="41"/>
      <c r="D467" s="9"/>
      <c r="E467" s="10"/>
      <c r="F467" s="10"/>
      <c r="G467" s="9"/>
      <c r="H467" s="10"/>
      <c r="I467" s="21" t="b">
        <v>0</v>
      </c>
    </row>
    <row r="468" ht="22.5" customHeight="1">
      <c r="A468" s="10"/>
      <c r="B468" s="31"/>
      <c r="C468" s="41"/>
      <c r="D468" s="9"/>
      <c r="E468" s="10"/>
      <c r="F468" s="10"/>
      <c r="G468" s="9"/>
      <c r="H468" s="10"/>
      <c r="I468" s="21" t="b">
        <v>0</v>
      </c>
    </row>
    <row r="469" ht="22.5" customHeight="1">
      <c r="A469" s="10"/>
      <c r="B469" s="31"/>
      <c r="C469" s="41"/>
      <c r="D469" s="9"/>
      <c r="E469" s="10"/>
      <c r="F469" s="10"/>
      <c r="G469" s="9"/>
      <c r="H469" s="10"/>
      <c r="I469" s="21" t="b">
        <v>0</v>
      </c>
    </row>
    <row r="470" ht="22.5" customHeight="1">
      <c r="A470" s="10"/>
      <c r="B470" s="31"/>
      <c r="C470" s="41"/>
      <c r="D470" s="9"/>
      <c r="E470" s="10"/>
      <c r="F470" s="10"/>
      <c r="G470" s="9"/>
      <c r="H470" s="10"/>
      <c r="I470" s="21" t="b">
        <v>0</v>
      </c>
    </row>
    <row r="471" ht="22.5" customHeight="1">
      <c r="A471" s="10"/>
      <c r="B471" s="31"/>
      <c r="C471" s="41"/>
      <c r="D471" s="9"/>
      <c r="E471" s="10"/>
      <c r="F471" s="10"/>
      <c r="G471" s="9"/>
      <c r="H471" s="10"/>
      <c r="I471" s="21" t="b">
        <v>0</v>
      </c>
    </row>
    <row r="472" ht="22.5" customHeight="1">
      <c r="A472" s="10"/>
      <c r="B472" s="31"/>
      <c r="C472" s="41"/>
      <c r="D472" s="9"/>
      <c r="E472" s="10"/>
      <c r="F472" s="10"/>
      <c r="G472" s="9"/>
      <c r="H472" s="10"/>
      <c r="I472" s="21" t="b">
        <v>0</v>
      </c>
    </row>
    <row r="473" ht="22.5" customHeight="1">
      <c r="A473" s="10"/>
      <c r="B473" s="31"/>
      <c r="C473" s="41"/>
      <c r="D473" s="9"/>
      <c r="E473" s="10"/>
      <c r="F473" s="10"/>
      <c r="G473" s="9"/>
      <c r="H473" s="10"/>
      <c r="I473" s="21" t="b">
        <v>0</v>
      </c>
    </row>
    <row r="474" ht="22.5" customHeight="1">
      <c r="A474" s="10"/>
      <c r="B474" s="31"/>
      <c r="C474" s="41"/>
      <c r="D474" s="9"/>
      <c r="E474" s="10"/>
      <c r="F474" s="10"/>
      <c r="G474" s="9"/>
      <c r="H474" s="10"/>
      <c r="I474" s="21" t="b">
        <v>0</v>
      </c>
    </row>
    <row r="475" ht="22.5" customHeight="1">
      <c r="A475" s="10"/>
      <c r="B475" s="31"/>
      <c r="C475" s="41"/>
      <c r="D475" s="9"/>
      <c r="E475" s="10"/>
      <c r="F475" s="10"/>
      <c r="G475" s="9"/>
      <c r="H475" s="10"/>
      <c r="I475" s="21" t="b">
        <v>0</v>
      </c>
    </row>
    <row r="476" ht="22.5" customHeight="1">
      <c r="A476" s="10"/>
      <c r="B476" s="31"/>
      <c r="C476" s="41"/>
      <c r="D476" s="9"/>
      <c r="E476" s="10"/>
      <c r="F476" s="10"/>
      <c r="G476" s="9"/>
      <c r="H476" s="10"/>
      <c r="I476" s="21" t="b">
        <v>0</v>
      </c>
    </row>
    <row r="477" ht="22.5" customHeight="1">
      <c r="A477" s="10"/>
      <c r="B477" s="31"/>
      <c r="C477" s="41"/>
      <c r="D477" s="9"/>
      <c r="E477" s="10"/>
      <c r="F477" s="10"/>
      <c r="G477" s="9"/>
      <c r="H477" s="10"/>
      <c r="I477" s="21" t="b">
        <v>0</v>
      </c>
    </row>
    <row r="478" ht="22.5" customHeight="1">
      <c r="A478" s="10"/>
      <c r="B478" s="31"/>
      <c r="C478" s="41"/>
      <c r="D478" s="9"/>
      <c r="E478" s="10"/>
      <c r="F478" s="10"/>
      <c r="G478" s="9"/>
      <c r="H478" s="10"/>
      <c r="I478" s="21" t="b">
        <v>0</v>
      </c>
    </row>
    <row r="479" ht="22.5" customHeight="1">
      <c r="A479" s="10"/>
      <c r="B479" s="31"/>
      <c r="C479" s="41"/>
      <c r="D479" s="9"/>
      <c r="E479" s="10"/>
      <c r="F479" s="10"/>
      <c r="G479" s="9"/>
      <c r="H479" s="10"/>
      <c r="I479" s="21" t="b">
        <v>0</v>
      </c>
    </row>
    <row r="480" ht="22.5" customHeight="1">
      <c r="A480" s="10"/>
      <c r="B480" s="31"/>
      <c r="C480" s="41"/>
      <c r="D480" s="9"/>
      <c r="E480" s="10"/>
      <c r="F480" s="10"/>
      <c r="G480" s="9"/>
      <c r="H480" s="10"/>
      <c r="I480" s="21" t="b">
        <v>0</v>
      </c>
    </row>
    <row r="481" ht="22.5" customHeight="1">
      <c r="A481" s="10"/>
      <c r="B481" s="31"/>
      <c r="C481" s="41"/>
      <c r="D481" s="9"/>
      <c r="E481" s="10"/>
      <c r="F481" s="10"/>
      <c r="G481" s="9"/>
      <c r="H481" s="10"/>
      <c r="I481" s="21" t="b">
        <v>0</v>
      </c>
    </row>
    <row r="482" ht="22.5" customHeight="1">
      <c r="A482" s="10"/>
      <c r="B482" s="31"/>
      <c r="C482" s="41"/>
      <c r="D482" s="9"/>
      <c r="E482" s="10"/>
      <c r="F482" s="10"/>
      <c r="G482" s="9"/>
      <c r="H482" s="10"/>
      <c r="I482" s="21" t="b">
        <v>0</v>
      </c>
    </row>
    <row r="483" ht="22.5" customHeight="1">
      <c r="A483" s="10"/>
      <c r="B483" s="31"/>
      <c r="C483" s="41"/>
      <c r="D483" s="9"/>
      <c r="E483" s="10"/>
      <c r="F483" s="10"/>
      <c r="G483" s="9"/>
      <c r="H483" s="10"/>
      <c r="I483" s="21" t="b">
        <v>0</v>
      </c>
    </row>
    <row r="484" ht="22.5" customHeight="1">
      <c r="A484" s="10"/>
      <c r="B484" s="31"/>
      <c r="C484" s="41"/>
      <c r="D484" s="9"/>
      <c r="E484" s="10"/>
      <c r="F484" s="10"/>
      <c r="G484" s="9"/>
      <c r="H484" s="10"/>
      <c r="I484" s="21" t="b">
        <v>0</v>
      </c>
    </row>
    <row r="485" ht="22.5" customHeight="1">
      <c r="A485" s="10"/>
      <c r="B485" s="31"/>
      <c r="C485" s="41"/>
      <c r="D485" s="9"/>
      <c r="E485" s="10"/>
      <c r="F485" s="10"/>
      <c r="G485" s="9"/>
      <c r="H485" s="10"/>
      <c r="I485" s="21" t="b">
        <v>0</v>
      </c>
    </row>
    <row r="486" ht="22.5" customHeight="1">
      <c r="A486" s="10"/>
      <c r="B486" s="31"/>
      <c r="C486" s="41"/>
      <c r="D486" s="9"/>
      <c r="E486" s="10"/>
      <c r="F486" s="10"/>
      <c r="G486" s="9"/>
      <c r="H486" s="10"/>
      <c r="I486" s="21" t="b">
        <v>0</v>
      </c>
    </row>
    <row r="487" ht="22.5" customHeight="1">
      <c r="A487" s="10"/>
      <c r="B487" s="31"/>
      <c r="C487" s="41"/>
      <c r="D487" s="9"/>
      <c r="E487" s="10"/>
      <c r="F487" s="10"/>
      <c r="G487" s="9"/>
      <c r="H487" s="10"/>
      <c r="I487" s="21" t="b">
        <v>0</v>
      </c>
    </row>
    <row r="488" ht="22.5" customHeight="1">
      <c r="A488" s="10"/>
      <c r="B488" s="31"/>
      <c r="C488" s="41"/>
      <c r="D488" s="9"/>
      <c r="E488" s="10"/>
      <c r="F488" s="10"/>
      <c r="G488" s="9"/>
      <c r="H488" s="10"/>
      <c r="I488" s="21" t="b">
        <v>0</v>
      </c>
    </row>
    <row r="489" ht="22.5" customHeight="1">
      <c r="A489" s="10"/>
      <c r="B489" s="31"/>
      <c r="C489" s="41"/>
      <c r="D489" s="9"/>
      <c r="E489" s="10"/>
      <c r="F489" s="10"/>
      <c r="G489" s="9"/>
      <c r="H489" s="10"/>
      <c r="I489" s="21" t="b">
        <v>0</v>
      </c>
    </row>
    <row r="490" ht="22.5" customHeight="1">
      <c r="A490" s="10"/>
      <c r="B490" s="31"/>
      <c r="C490" s="41"/>
      <c r="D490" s="9"/>
      <c r="E490" s="10"/>
      <c r="F490" s="10"/>
      <c r="G490" s="9"/>
      <c r="H490" s="10"/>
      <c r="I490" s="21" t="b">
        <v>0</v>
      </c>
    </row>
    <row r="491" ht="22.5" customHeight="1">
      <c r="A491" s="10"/>
      <c r="B491" s="31"/>
      <c r="C491" s="41"/>
      <c r="D491" s="9"/>
      <c r="E491" s="10"/>
      <c r="F491" s="10"/>
      <c r="G491" s="9"/>
      <c r="H491" s="10"/>
      <c r="I491" s="21" t="b">
        <v>0</v>
      </c>
    </row>
    <row r="492" ht="22.5" customHeight="1">
      <c r="A492" s="10"/>
      <c r="B492" s="31"/>
      <c r="C492" s="41"/>
      <c r="D492" s="9"/>
      <c r="E492" s="10"/>
      <c r="F492" s="10"/>
      <c r="G492" s="9"/>
      <c r="H492" s="10"/>
      <c r="I492" s="21" t="b">
        <v>0</v>
      </c>
    </row>
    <row r="493" ht="22.5" customHeight="1">
      <c r="A493" s="10"/>
      <c r="B493" s="31"/>
      <c r="C493" s="41"/>
      <c r="D493" s="9"/>
      <c r="E493" s="10"/>
      <c r="F493" s="10"/>
      <c r="G493" s="9"/>
      <c r="H493" s="10"/>
      <c r="I493" s="21" t="b">
        <v>0</v>
      </c>
    </row>
    <row r="494" ht="22.5" customHeight="1">
      <c r="A494" s="10"/>
      <c r="B494" s="31"/>
      <c r="C494" s="41"/>
      <c r="D494" s="9"/>
      <c r="E494" s="10"/>
      <c r="F494" s="10"/>
      <c r="G494" s="9"/>
      <c r="H494" s="10"/>
      <c r="I494" s="21" t="b">
        <v>0</v>
      </c>
    </row>
    <row r="495" ht="22.5" customHeight="1">
      <c r="A495" s="10"/>
      <c r="B495" s="31"/>
      <c r="C495" s="41"/>
      <c r="D495" s="9"/>
      <c r="E495" s="10"/>
      <c r="F495" s="10"/>
      <c r="G495" s="9"/>
      <c r="H495" s="10"/>
      <c r="I495" s="21" t="b">
        <v>0</v>
      </c>
    </row>
    <row r="496" ht="22.5" customHeight="1">
      <c r="A496" s="10"/>
      <c r="B496" s="31"/>
      <c r="C496" s="41"/>
      <c r="D496" s="9"/>
      <c r="E496" s="10"/>
      <c r="F496" s="10"/>
      <c r="G496" s="9"/>
      <c r="H496" s="10"/>
      <c r="I496" s="21" t="b">
        <v>0</v>
      </c>
    </row>
    <row r="497" ht="22.5" customHeight="1">
      <c r="A497" s="10"/>
      <c r="B497" s="31"/>
      <c r="C497" s="41"/>
      <c r="D497" s="9"/>
      <c r="E497" s="10"/>
      <c r="F497" s="10"/>
      <c r="G497" s="9"/>
      <c r="H497" s="10"/>
      <c r="I497" s="21" t="b">
        <v>0</v>
      </c>
    </row>
    <row r="498" ht="22.5" customHeight="1">
      <c r="A498" s="10"/>
      <c r="B498" s="31"/>
      <c r="C498" s="41"/>
      <c r="D498" s="9"/>
      <c r="E498" s="10"/>
      <c r="F498" s="10"/>
      <c r="G498" s="9"/>
      <c r="H498" s="10"/>
      <c r="I498" s="21" t="b">
        <v>0</v>
      </c>
    </row>
    <row r="499" ht="22.5" customHeight="1">
      <c r="A499" s="10"/>
      <c r="B499" s="31"/>
      <c r="C499" s="41"/>
      <c r="D499" s="9"/>
      <c r="E499" s="10"/>
      <c r="F499" s="10"/>
      <c r="G499" s="9"/>
      <c r="H499" s="10"/>
      <c r="I499" s="21" t="b">
        <v>0</v>
      </c>
    </row>
    <row r="500" ht="22.5" customHeight="1">
      <c r="A500" s="10"/>
      <c r="B500" s="31"/>
      <c r="C500" s="41"/>
      <c r="D500" s="9"/>
      <c r="E500" s="10"/>
      <c r="F500" s="10"/>
      <c r="G500" s="9"/>
      <c r="H500" s="10"/>
      <c r="I500" s="21" t="b">
        <v>0</v>
      </c>
    </row>
    <row r="501" ht="22.5" customHeight="1">
      <c r="A501" s="10"/>
      <c r="B501" s="31"/>
      <c r="C501" s="41"/>
      <c r="D501" s="9"/>
      <c r="E501" s="10"/>
      <c r="F501" s="10"/>
      <c r="G501" s="9"/>
      <c r="H501" s="10"/>
      <c r="I501" s="21" t="b">
        <v>0</v>
      </c>
    </row>
    <row r="502" ht="22.5" customHeight="1">
      <c r="A502" s="10"/>
      <c r="B502" s="31"/>
      <c r="C502" s="41"/>
      <c r="D502" s="9"/>
      <c r="E502" s="10"/>
      <c r="F502" s="10"/>
      <c r="G502" s="9"/>
      <c r="H502" s="10"/>
      <c r="I502" s="21" t="b">
        <v>0</v>
      </c>
    </row>
    <row r="503" ht="22.5" customHeight="1">
      <c r="A503" s="10"/>
      <c r="B503" s="31"/>
      <c r="C503" s="41"/>
      <c r="D503" s="9"/>
      <c r="E503" s="10"/>
      <c r="F503" s="10"/>
      <c r="G503" s="9"/>
      <c r="H503" s="10"/>
      <c r="I503" s="21" t="b">
        <v>0</v>
      </c>
    </row>
    <row r="504" ht="22.5" customHeight="1">
      <c r="A504" s="10"/>
      <c r="B504" s="31"/>
      <c r="C504" s="41"/>
      <c r="D504" s="9"/>
      <c r="E504" s="10"/>
      <c r="F504" s="10"/>
      <c r="G504" s="9"/>
      <c r="H504" s="10"/>
      <c r="I504" s="21" t="b">
        <v>0</v>
      </c>
    </row>
    <row r="505" ht="22.5" customHeight="1">
      <c r="A505" s="10"/>
      <c r="B505" s="31"/>
      <c r="C505" s="41"/>
      <c r="D505" s="9"/>
      <c r="E505" s="10"/>
      <c r="F505" s="10"/>
      <c r="G505" s="9"/>
      <c r="H505" s="10"/>
      <c r="I505" s="21" t="b">
        <v>0</v>
      </c>
    </row>
    <row r="506" ht="22.5" customHeight="1">
      <c r="A506" s="10"/>
      <c r="B506" s="31"/>
      <c r="C506" s="41"/>
      <c r="D506" s="9"/>
      <c r="E506" s="10"/>
      <c r="F506" s="10"/>
      <c r="G506" s="9"/>
      <c r="H506" s="10"/>
      <c r="I506" s="21" t="b">
        <v>0</v>
      </c>
    </row>
    <row r="507" ht="22.5" customHeight="1">
      <c r="A507" s="10"/>
      <c r="B507" s="31"/>
      <c r="C507" s="41"/>
      <c r="D507" s="9"/>
      <c r="E507" s="10"/>
      <c r="F507" s="10"/>
      <c r="G507" s="9"/>
      <c r="H507" s="10"/>
      <c r="I507" s="21" t="b">
        <v>0</v>
      </c>
    </row>
    <row r="508" ht="22.5" customHeight="1">
      <c r="A508" s="10"/>
      <c r="B508" s="31"/>
      <c r="C508" s="41"/>
      <c r="D508" s="9"/>
      <c r="E508" s="10"/>
      <c r="F508" s="10"/>
      <c r="G508" s="9"/>
      <c r="H508" s="10"/>
      <c r="I508" s="21" t="b">
        <v>0</v>
      </c>
    </row>
    <row r="509" ht="22.5" customHeight="1">
      <c r="A509" s="10"/>
      <c r="B509" s="31"/>
      <c r="C509" s="41"/>
      <c r="D509" s="9"/>
      <c r="E509" s="10"/>
      <c r="F509" s="10"/>
      <c r="G509" s="9"/>
      <c r="H509" s="10"/>
      <c r="I509" s="21" t="b">
        <v>0</v>
      </c>
    </row>
    <row r="510" ht="22.5" customHeight="1">
      <c r="A510" s="10"/>
      <c r="B510" s="31"/>
      <c r="C510" s="41"/>
      <c r="D510" s="9"/>
      <c r="E510" s="10"/>
      <c r="F510" s="10"/>
      <c r="G510" s="9"/>
      <c r="H510" s="10"/>
      <c r="I510" s="21" t="b">
        <v>0</v>
      </c>
    </row>
    <row r="511" ht="22.5" customHeight="1">
      <c r="A511" s="10"/>
      <c r="B511" s="31"/>
      <c r="C511" s="41"/>
      <c r="D511" s="9"/>
      <c r="E511" s="10"/>
      <c r="F511" s="10"/>
      <c r="G511" s="9"/>
      <c r="H511" s="10"/>
      <c r="I511" s="21" t="b">
        <v>0</v>
      </c>
    </row>
    <row r="512" ht="22.5" customHeight="1">
      <c r="A512" s="10"/>
      <c r="B512" s="31"/>
      <c r="C512" s="41"/>
      <c r="D512" s="9"/>
      <c r="E512" s="10"/>
      <c r="F512" s="10"/>
      <c r="G512" s="9"/>
      <c r="H512" s="10"/>
      <c r="I512" s="21" t="b">
        <v>0</v>
      </c>
    </row>
    <row r="513" ht="22.5" customHeight="1">
      <c r="A513" s="10"/>
      <c r="B513" s="31"/>
      <c r="C513" s="41"/>
      <c r="D513" s="9"/>
      <c r="E513" s="10"/>
      <c r="F513" s="10"/>
      <c r="G513" s="9"/>
      <c r="H513" s="10"/>
      <c r="I513" s="21" t="b">
        <v>0</v>
      </c>
    </row>
    <row r="514" ht="22.5" customHeight="1">
      <c r="A514" s="10"/>
      <c r="B514" s="31"/>
      <c r="C514" s="41"/>
      <c r="D514" s="9"/>
      <c r="E514" s="10"/>
      <c r="F514" s="10"/>
      <c r="G514" s="9"/>
      <c r="H514" s="10"/>
      <c r="I514" s="21" t="b">
        <v>0</v>
      </c>
    </row>
    <row r="515" ht="22.5" customHeight="1">
      <c r="A515" s="10"/>
      <c r="B515" s="31"/>
      <c r="C515" s="41"/>
      <c r="D515" s="9"/>
      <c r="E515" s="10"/>
      <c r="F515" s="10"/>
      <c r="G515" s="9"/>
      <c r="H515" s="10"/>
      <c r="I515" s="21" t="b">
        <v>0</v>
      </c>
    </row>
    <row r="516" ht="22.5" customHeight="1">
      <c r="A516" s="10"/>
      <c r="B516" s="31"/>
      <c r="C516" s="41"/>
      <c r="D516" s="9"/>
      <c r="E516" s="10"/>
      <c r="F516" s="10"/>
      <c r="G516" s="9"/>
      <c r="H516" s="10"/>
      <c r="I516" s="21" t="b">
        <v>0</v>
      </c>
    </row>
    <row r="517" ht="22.5" customHeight="1">
      <c r="A517" s="10"/>
      <c r="B517" s="31"/>
      <c r="C517" s="41"/>
      <c r="D517" s="9"/>
      <c r="E517" s="10"/>
      <c r="F517" s="10"/>
      <c r="G517" s="9"/>
      <c r="H517" s="10"/>
      <c r="I517" s="21" t="b">
        <v>0</v>
      </c>
    </row>
    <row r="518" ht="22.5" customHeight="1">
      <c r="A518" s="10"/>
      <c r="B518" s="31"/>
      <c r="C518" s="41"/>
      <c r="D518" s="9"/>
      <c r="E518" s="10"/>
      <c r="F518" s="10"/>
      <c r="G518" s="9"/>
      <c r="H518" s="10"/>
      <c r="I518" s="21" t="b">
        <v>0</v>
      </c>
    </row>
    <row r="519" ht="22.5" customHeight="1">
      <c r="A519" s="10"/>
      <c r="B519" s="31"/>
      <c r="C519" s="41"/>
      <c r="D519" s="9"/>
      <c r="E519" s="10"/>
      <c r="F519" s="10"/>
      <c r="G519" s="9"/>
      <c r="H519" s="10"/>
      <c r="I519" s="21" t="b">
        <v>0</v>
      </c>
    </row>
    <row r="520" ht="22.5" customHeight="1">
      <c r="A520" s="10"/>
      <c r="B520" s="31"/>
      <c r="C520" s="41"/>
      <c r="D520" s="9"/>
      <c r="E520" s="10"/>
      <c r="F520" s="10"/>
      <c r="G520" s="9"/>
      <c r="H520" s="10"/>
      <c r="I520" s="21" t="b">
        <v>0</v>
      </c>
    </row>
    <row r="521" ht="22.5" customHeight="1">
      <c r="A521" s="10"/>
      <c r="B521" s="31"/>
      <c r="C521" s="41"/>
      <c r="D521" s="9"/>
      <c r="E521" s="10"/>
      <c r="F521" s="10"/>
      <c r="G521" s="9"/>
      <c r="H521" s="10"/>
      <c r="I521" s="21" t="b">
        <v>0</v>
      </c>
    </row>
    <row r="522" ht="22.5" customHeight="1">
      <c r="A522" s="10"/>
      <c r="B522" s="31"/>
      <c r="C522" s="41"/>
      <c r="D522" s="9"/>
      <c r="E522" s="10"/>
      <c r="F522" s="10"/>
      <c r="G522" s="9"/>
      <c r="H522" s="10"/>
      <c r="I522" s="21" t="b">
        <v>0</v>
      </c>
    </row>
    <row r="523" ht="22.5" customHeight="1">
      <c r="A523" s="10"/>
      <c r="B523" s="31"/>
      <c r="C523" s="41"/>
      <c r="D523" s="9"/>
      <c r="E523" s="10"/>
      <c r="F523" s="10"/>
      <c r="G523" s="9"/>
      <c r="H523" s="10"/>
      <c r="I523" s="21" t="b">
        <v>0</v>
      </c>
    </row>
    <row r="524" ht="22.5" customHeight="1">
      <c r="A524" s="10"/>
      <c r="B524" s="31"/>
      <c r="C524" s="41"/>
      <c r="D524" s="9"/>
      <c r="E524" s="10"/>
      <c r="F524" s="10"/>
      <c r="G524" s="9"/>
      <c r="H524" s="10"/>
      <c r="I524" s="21" t="b">
        <v>0</v>
      </c>
    </row>
    <row r="525" ht="22.5" customHeight="1">
      <c r="A525" s="10"/>
      <c r="B525" s="31"/>
      <c r="C525" s="41"/>
      <c r="D525" s="9"/>
      <c r="E525" s="10"/>
      <c r="F525" s="10"/>
      <c r="G525" s="9"/>
      <c r="H525" s="10"/>
      <c r="I525" s="21" t="b">
        <v>0</v>
      </c>
    </row>
    <row r="526" ht="22.5" customHeight="1">
      <c r="A526" s="10"/>
      <c r="B526" s="31"/>
      <c r="C526" s="41"/>
      <c r="D526" s="9"/>
      <c r="E526" s="10"/>
      <c r="F526" s="10"/>
      <c r="G526" s="9"/>
      <c r="H526" s="10"/>
      <c r="I526" s="21" t="b">
        <v>0</v>
      </c>
    </row>
    <row r="527" ht="22.5" customHeight="1">
      <c r="A527" s="10"/>
      <c r="B527" s="31"/>
      <c r="C527" s="41"/>
      <c r="D527" s="9"/>
      <c r="E527" s="10"/>
      <c r="F527" s="10"/>
      <c r="G527" s="9"/>
      <c r="H527" s="10"/>
      <c r="I527" s="21" t="b">
        <v>0</v>
      </c>
    </row>
    <row r="528" ht="22.5" customHeight="1">
      <c r="A528" s="10"/>
      <c r="B528" s="31"/>
      <c r="C528" s="41"/>
      <c r="D528" s="9"/>
      <c r="E528" s="10"/>
      <c r="F528" s="10"/>
      <c r="G528" s="9"/>
      <c r="H528" s="10"/>
      <c r="I528" s="21" t="b">
        <v>0</v>
      </c>
    </row>
    <row r="529" ht="22.5" customHeight="1">
      <c r="A529" s="10"/>
      <c r="B529" s="31"/>
      <c r="C529" s="41"/>
      <c r="D529" s="9"/>
      <c r="E529" s="10"/>
      <c r="F529" s="10"/>
      <c r="G529" s="9"/>
      <c r="H529" s="10"/>
      <c r="I529" s="21" t="b">
        <v>0</v>
      </c>
    </row>
    <row r="530" ht="22.5" customHeight="1">
      <c r="A530" s="10"/>
      <c r="B530" s="31"/>
      <c r="C530" s="41"/>
      <c r="D530" s="9"/>
      <c r="E530" s="10"/>
      <c r="F530" s="10"/>
      <c r="G530" s="9"/>
      <c r="H530" s="10"/>
      <c r="I530" s="21" t="b">
        <v>0</v>
      </c>
    </row>
    <row r="531" ht="22.5" customHeight="1">
      <c r="A531" s="10"/>
      <c r="B531" s="31"/>
      <c r="C531" s="41"/>
      <c r="D531" s="9"/>
      <c r="E531" s="10"/>
      <c r="F531" s="10"/>
      <c r="G531" s="9"/>
      <c r="H531" s="10"/>
      <c r="I531" s="21" t="b">
        <v>0</v>
      </c>
    </row>
    <row r="532" ht="22.5" customHeight="1">
      <c r="A532" s="10"/>
      <c r="B532" s="31"/>
      <c r="C532" s="41"/>
      <c r="D532" s="9"/>
      <c r="E532" s="10"/>
      <c r="F532" s="10"/>
      <c r="G532" s="9"/>
      <c r="H532" s="10"/>
      <c r="I532" s="21" t="b">
        <v>0</v>
      </c>
    </row>
    <row r="533" ht="22.5" customHeight="1">
      <c r="A533" s="10"/>
      <c r="B533" s="31"/>
      <c r="C533" s="41"/>
      <c r="D533" s="9"/>
      <c r="E533" s="10"/>
      <c r="F533" s="10"/>
      <c r="G533" s="9"/>
      <c r="H533" s="10"/>
      <c r="I533" s="21" t="b">
        <v>0</v>
      </c>
    </row>
    <row r="534" ht="22.5" customHeight="1">
      <c r="A534" s="10"/>
      <c r="B534" s="31"/>
      <c r="C534" s="41"/>
      <c r="D534" s="9"/>
      <c r="E534" s="10"/>
      <c r="F534" s="10"/>
      <c r="G534" s="9"/>
      <c r="H534" s="10"/>
      <c r="I534" s="21" t="b">
        <v>0</v>
      </c>
    </row>
    <row r="535" ht="22.5" customHeight="1">
      <c r="A535" s="10"/>
      <c r="B535" s="31"/>
      <c r="C535" s="41"/>
      <c r="D535" s="9"/>
      <c r="E535" s="10"/>
      <c r="F535" s="10"/>
      <c r="G535" s="9"/>
      <c r="H535" s="10"/>
      <c r="I535" s="21" t="b">
        <v>0</v>
      </c>
    </row>
    <row r="536" ht="22.5" customHeight="1">
      <c r="A536" s="10"/>
      <c r="B536" s="31"/>
      <c r="C536" s="41"/>
      <c r="D536" s="9"/>
      <c r="E536" s="10"/>
      <c r="F536" s="10"/>
      <c r="G536" s="9"/>
      <c r="H536" s="10"/>
      <c r="I536" s="21" t="b">
        <v>0</v>
      </c>
    </row>
    <row r="537" ht="22.5" customHeight="1">
      <c r="A537" s="10"/>
      <c r="B537" s="31"/>
      <c r="C537" s="41"/>
      <c r="D537" s="9"/>
      <c r="E537" s="10"/>
      <c r="F537" s="10"/>
      <c r="G537" s="9"/>
      <c r="H537" s="10"/>
      <c r="I537" s="21" t="b">
        <v>0</v>
      </c>
    </row>
    <row r="538" ht="22.5" customHeight="1">
      <c r="A538" s="10"/>
      <c r="B538" s="31"/>
      <c r="C538" s="41"/>
      <c r="D538" s="9"/>
      <c r="E538" s="10"/>
      <c r="F538" s="10"/>
      <c r="G538" s="9"/>
      <c r="H538" s="10"/>
      <c r="I538" s="21" t="b">
        <v>0</v>
      </c>
    </row>
    <row r="539" ht="22.5" customHeight="1">
      <c r="A539" s="10"/>
      <c r="B539" s="31"/>
      <c r="C539" s="41"/>
      <c r="D539" s="9"/>
      <c r="E539" s="10"/>
      <c r="F539" s="10"/>
      <c r="G539" s="9"/>
      <c r="H539" s="10"/>
      <c r="I539" s="21" t="b">
        <v>0</v>
      </c>
    </row>
    <row r="540" ht="22.5" customHeight="1">
      <c r="A540" s="10"/>
      <c r="B540" s="31"/>
      <c r="C540" s="41"/>
      <c r="D540" s="9"/>
      <c r="E540" s="10"/>
      <c r="F540" s="10"/>
      <c r="G540" s="9"/>
      <c r="H540" s="10"/>
      <c r="I540" s="21" t="b">
        <v>0</v>
      </c>
    </row>
    <row r="541" ht="22.5" customHeight="1">
      <c r="A541" s="10"/>
      <c r="B541" s="31"/>
      <c r="C541" s="41"/>
      <c r="D541" s="9"/>
      <c r="E541" s="10"/>
      <c r="F541" s="10"/>
      <c r="G541" s="9"/>
      <c r="H541" s="10"/>
      <c r="I541" s="21" t="b">
        <v>0</v>
      </c>
    </row>
    <row r="542" ht="22.5" customHeight="1">
      <c r="A542" s="10"/>
      <c r="B542" s="31"/>
      <c r="C542" s="41"/>
      <c r="D542" s="9"/>
      <c r="E542" s="10"/>
      <c r="F542" s="10"/>
      <c r="G542" s="9"/>
      <c r="H542" s="10"/>
      <c r="I542" s="21" t="b">
        <v>0</v>
      </c>
    </row>
    <row r="543" ht="22.5" customHeight="1">
      <c r="A543" s="10"/>
      <c r="B543" s="31"/>
      <c r="C543" s="41"/>
      <c r="D543" s="9"/>
      <c r="E543" s="10"/>
      <c r="F543" s="10"/>
      <c r="G543" s="9"/>
      <c r="H543" s="10"/>
      <c r="I543" s="21" t="b">
        <v>0</v>
      </c>
    </row>
    <row r="544" ht="22.5" customHeight="1">
      <c r="A544" s="10"/>
      <c r="B544" s="31"/>
      <c r="C544" s="41"/>
      <c r="D544" s="9"/>
      <c r="E544" s="10"/>
      <c r="F544" s="10"/>
      <c r="G544" s="9"/>
      <c r="H544" s="10"/>
      <c r="I544" s="21" t="b">
        <v>0</v>
      </c>
    </row>
    <row r="545" ht="22.5" customHeight="1">
      <c r="A545" s="10"/>
      <c r="B545" s="31"/>
      <c r="C545" s="41"/>
      <c r="D545" s="9"/>
      <c r="E545" s="10"/>
      <c r="F545" s="10"/>
      <c r="G545" s="9"/>
      <c r="H545" s="10"/>
      <c r="I545" s="21" t="b">
        <v>0</v>
      </c>
    </row>
    <row r="546" ht="22.5" customHeight="1">
      <c r="A546" s="10"/>
      <c r="B546" s="31"/>
      <c r="C546" s="41"/>
      <c r="D546" s="9"/>
      <c r="E546" s="10"/>
      <c r="F546" s="10"/>
      <c r="G546" s="9"/>
      <c r="H546" s="10"/>
      <c r="I546" s="21" t="b">
        <v>0</v>
      </c>
    </row>
    <row r="547" ht="22.5" customHeight="1">
      <c r="A547" s="10"/>
      <c r="B547" s="31"/>
      <c r="C547" s="41"/>
      <c r="D547" s="9"/>
      <c r="E547" s="10"/>
      <c r="F547" s="10"/>
      <c r="G547" s="9"/>
      <c r="H547" s="10"/>
      <c r="I547" s="21" t="b">
        <v>0</v>
      </c>
    </row>
    <row r="548" ht="22.5" customHeight="1">
      <c r="A548" s="10"/>
      <c r="B548" s="31"/>
      <c r="C548" s="41"/>
      <c r="D548" s="9"/>
      <c r="E548" s="10"/>
      <c r="F548" s="10"/>
      <c r="G548" s="9"/>
      <c r="H548" s="10"/>
      <c r="I548" s="21" t="b">
        <v>0</v>
      </c>
    </row>
    <row r="549" ht="22.5" customHeight="1">
      <c r="A549" s="10"/>
      <c r="B549" s="31"/>
      <c r="C549" s="41"/>
      <c r="D549" s="9"/>
      <c r="E549" s="10"/>
      <c r="F549" s="10"/>
      <c r="G549" s="9"/>
      <c r="H549" s="10"/>
      <c r="I549" s="21" t="b">
        <v>0</v>
      </c>
    </row>
    <row r="550" ht="22.5" customHeight="1">
      <c r="A550" s="10"/>
      <c r="B550" s="31"/>
      <c r="C550" s="41"/>
      <c r="D550" s="9"/>
      <c r="E550" s="10"/>
      <c r="F550" s="10"/>
      <c r="G550" s="9"/>
      <c r="H550" s="10"/>
      <c r="I550" s="21" t="b">
        <v>0</v>
      </c>
    </row>
    <row r="551" ht="22.5" customHeight="1">
      <c r="A551" s="10"/>
      <c r="B551" s="31"/>
      <c r="C551" s="41"/>
      <c r="D551" s="9"/>
      <c r="E551" s="10"/>
      <c r="F551" s="10"/>
      <c r="G551" s="9"/>
      <c r="H551" s="10"/>
      <c r="I551" s="21" t="b">
        <v>0</v>
      </c>
    </row>
    <row r="552" ht="22.5" customHeight="1">
      <c r="A552" s="10"/>
      <c r="B552" s="31"/>
      <c r="C552" s="41"/>
      <c r="D552" s="9"/>
      <c r="E552" s="10"/>
      <c r="F552" s="10"/>
      <c r="G552" s="9"/>
      <c r="H552" s="10"/>
      <c r="I552" s="21" t="b">
        <v>0</v>
      </c>
    </row>
    <row r="553" ht="22.5" customHeight="1">
      <c r="A553" s="10"/>
      <c r="B553" s="31"/>
      <c r="C553" s="41"/>
      <c r="D553" s="9"/>
      <c r="E553" s="10"/>
      <c r="F553" s="10"/>
      <c r="G553" s="9"/>
      <c r="H553" s="10"/>
      <c r="I553" s="21" t="b">
        <v>0</v>
      </c>
    </row>
    <row r="554" ht="22.5" customHeight="1">
      <c r="A554" s="10"/>
      <c r="B554" s="31"/>
      <c r="C554" s="41"/>
      <c r="D554" s="9"/>
      <c r="E554" s="10"/>
      <c r="F554" s="10"/>
      <c r="G554" s="9"/>
      <c r="H554" s="10"/>
      <c r="I554" s="21" t="b">
        <v>0</v>
      </c>
    </row>
    <row r="555" ht="22.5" customHeight="1">
      <c r="A555" s="10"/>
      <c r="B555" s="31"/>
      <c r="C555" s="41"/>
      <c r="D555" s="9"/>
      <c r="E555" s="10"/>
      <c r="F555" s="10"/>
      <c r="G555" s="9"/>
      <c r="H555" s="10"/>
      <c r="I555" s="21" t="b">
        <v>0</v>
      </c>
    </row>
    <row r="556" ht="22.5" customHeight="1">
      <c r="A556" s="10"/>
      <c r="B556" s="31"/>
      <c r="C556" s="41"/>
      <c r="D556" s="9"/>
      <c r="E556" s="10"/>
      <c r="F556" s="10"/>
      <c r="G556" s="9"/>
      <c r="H556" s="10"/>
      <c r="I556" s="21" t="b">
        <v>0</v>
      </c>
    </row>
    <row r="557" ht="22.5" customHeight="1">
      <c r="A557" s="10"/>
      <c r="B557" s="31"/>
      <c r="C557" s="41"/>
      <c r="D557" s="9"/>
      <c r="E557" s="10"/>
      <c r="F557" s="10"/>
      <c r="G557" s="9"/>
      <c r="H557" s="10"/>
      <c r="I557" s="21" t="b">
        <v>0</v>
      </c>
    </row>
    <row r="558" ht="22.5" customHeight="1">
      <c r="A558" s="10"/>
      <c r="B558" s="31"/>
      <c r="C558" s="41"/>
      <c r="D558" s="9"/>
      <c r="E558" s="10"/>
      <c r="F558" s="10"/>
      <c r="G558" s="9"/>
      <c r="H558" s="10"/>
      <c r="I558" s="21" t="b">
        <v>0</v>
      </c>
    </row>
    <row r="559" ht="22.5" customHeight="1">
      <c r="A559" s="10"/>
      <c r="B559" s="31"/>
      <c r="C559" s="41"/>
      <c r="D559" s="9"/>
      <c r="E559" s="10"/>
      <c r="F559" s="10"/>
      <c r="G559" s="9"/>
      <c r="H559" s="10"/>
      <c r="I559" s="21" t="b">
        <v>0</v>
      </c>
    </row>
    <row r="560" ht="22.5" customHeight="1">
      <c r="A560" s="10"/>
      <c r="B560" s="31"/>
      <c r="C560" s="41"/>
      <c r="D560" s="9"/>
      <c r="E560" s="10"/>
      <c r="F560" s="10"/>
      <c r="G560" s="9"/>
      <c r="H560" s="10"/>
      <c r="I560" s="21" t="b">
        <v>0</v>
      </c>
    </row>
    <row r="561" ht="22.5" customHeight="1">
      <c r="A561" s="10"/>
      <c r="B561" s="31"/>
      <c r="C561" s="41"/>
      <c r="D561" s="9"/>
      <c r="E561" s="10"/>
      <c r="F561" s="10"/>
      <c r="G561" s="9"/>
      <c r="H561" s="10"/>
      <c r="I561" s="21" t="b">
        <v>0</v>
      </c>
    </row>
    <row r="562" ht="22.5" customHeight="1">
      <c r="A562" s="10"/>
      <c r="B562" s="31"/>
      <c r="C562" s="41"/>
      <c r="D562" s="9"/>
      <c r="E562" s="10"/>
      <c r="F562" s="10"/>
      <c r="G562" s="9"/>
      <c r="H562" s="10"/>
      <c r="I562" s="21" t="b">
        <v>0</v>
      </c>
    </row>
    <row r="563" ht="22.5" customHeight="1">
      <c r="A563" s="10"/>
      <c r="B563" s="31"/>
      <c r="C563" s="41"/>
      <c r="D563" s="9"/>
      <c r="E563" s="10"/>
      <c r="F563" s="10"/>
      <c r="G563" s="9"/>
      <c r="H563" s="10"/>
      <c r="I563" s="21" t="b">
        <v>0</v>
      </c>
    </row>
    <row r="564" ht="22.5" customHeight="1">
      <c r="A564" s="10"/>
      <c r="B564" s="31"/>
      <c r="C564" s="41"/>
      <c r="D564" s="9"/>
      <c r="E564" s="10"/>
      <c r="F564" s="10"/>
      <c r="G564" s="9"/>
      <c r="H564" s="10"/>
      <c r="I564" s="21" t="b">
        <v>0</v>
      </c>
    </row>
    <row r="565" ht="22.5" customHeight="1">
      <c r="A565" s="10"/>
      <c r="B565" s="31"/>
      <c r="C565" s="41"/>
      <c r="D565" s="9"/>
      <c r="E565" s="10"/>
      <c r="F565" s="10"/>
      <c r="G565" s="9"/>
      <c r="H565" s="10"/>
      <c r="I565" s="21" t="b">
        <v>0</v>
      </c>
    </row>
    <row r="566" ht="22.5" customHeight="1">
      <c r="A566" s="10"/>
      <c r="B566" s="31"/>
      <c r="C566" s="41"/>
      <c r="D566" s="9"/>
      <c r="E566" s="10"/>
      <c r="F566" s="10"/>
      <c r="G566" s="9"/>
      <c r="H566" s="10"/>
      <c r="I566" s="21" t="b">
        <v>0</v>
      </c>
    </row>
    <row r="567" ht="22.5" customHeight="1">
      <c r="A567" s="10"/>
      <c r="B567" s="31"/>
      <c r="C567" s="41"/>
      <c r="D567" s="9"/>
      <c r="E567" s="10"/>
      <c r="F567" s="10"/>
      <c r="G567" s="9"/>
      <c r="H567" s="10"/>
      <c r="I567" s="21" t="b">
        <v>0</v>
      </c>
    </row>
    <row r="568" ht="22.5" customHeight="1">
      <c r="A568" s="10"/>
      <c r="B568" s="31"/>
      <c r="C568" s="41"/>
      <c r="D568" s="9"/>
      <c r="E568" s="10"/>
      <c r="F568" s="10"/>
      <c r="G568" s="9"/>
      <c r="H568" s="10"/>
      <c r="I568" s="21" t="b">
        <v>0</v>
      </c>
    </row>
    <row r="569" ht="22.5" customHeight="1">
      <c r="A569" s="10"/>
      <c r="B569" s="31"/>
      <c r="C569" s="41"/>
      <c r="D569" s="9"/>
      <c r="E569" s="10"/>
      <c r="F569" s="10"/>
      <c r="G569" s="9"/>
      <c r="H569" s="10"/>
      <c r="I569" s="21" t="b">
        <v>0</v>
      </c>
    </row>
    <row r="570" ht="22.5" customHeight="1">
      <c r="A570" s="10"/>
      <c r="B570" s="31"/>
      <c r="C570" s="41"/>
      <c r="D570" s="9"/>
      <c r="E570" s="10"/>
      <c r="F570" s="10"/>
      <c r="G570" s="9"/>
      <c r="H570" s="10"/>
      <c r="I570" s="21" t="b">
        <v>0</v>
      </c>
    </row>
    <row r="571" ht="22.5" customHeight="1">
      <c r="A571" s="10"/>
      <c r="B571" s="31"/>
      <c r="C571" s="41"/>
      <c r="D571" s="9"/>
      <c r="E571" s="10"/>
      <c r="F571" s="10"/>
      <c r="G571" s="9"/>
      <c r="H571" s="10"/>
      <c r="I571" s="21" t="b">
        <v>0</v>
      </c>
    </row>
    <row r="572" ht="22.5" customHeight="1">
      <c r="A572" s="10"/>
      <c r="B572" s="31"/>
      <c r="C572" s="41"/>
      <c r="D572" s="9"/>
      <c r="E572" s="10"/>
      <c r="F572" s="10"/>
      <c r="G572" s="9"/>
      <c r="H572" s="10"/>
      <c r="I572" s="21" t="b">
        <v>0</v>
      </c>
    </row>
    <row r="573" ht="22.5" customHeight="1">
      <c r="A573" s="10"/>
      <c r="B573" s="31"/>
      <c r="C573" s="41"/>
      <c r="D573" s="9"/>
      <c r="E573" s="10"/>
      <c r="F573" s="10"/>
      <c r="G573" s="9"/>
      <c r="H573" s="10"/>
      <c r="I573" s="21" t="b">
        <v>0</v>
      </c>
    </row>
    <row r="574" ht="22.5" customHeight="1">
      <c r="A574" s="10"/>
      <c r="B574" s="31"/>
      <c r="C574" s="41"/>
      <c r="D574" s="9"/>
      <c r="E574" s="10"/>
      <c r="F574" s="10"/>
      <c r="G574" s="9"/>
      <c r="H574" s="10"/>
      <c r="I574" s="21" t="b">
        <v>0</v>
      </c>
    </row>
    <row r="575" ht="22.5" customHeight="1">
      <c r="A575" s="10"/>
      <c r="B575" s="31"/>
      <c r="C575" s="41"/>
      <c r="D575" s="9"/>
      <c r="E575" s="10"/>
      <c r="F575" s="10"/>
      <c r="G575" s="9"/>
      <c r="H575" s="10"/>
      <c r="I575" s="21" t="b">
        <v>0</v>
      </c>
    </row>
    <row r="576" ht="22.5" customHeight="1">
      <c r="A576" s="10"/>
      <c r="B576" s="31"/>
      <c r="C576" s="41"/>
      <c r="D576" s="9"/>
      <c r="E576" s="10"/>
      <c r="F576" s="10"/>
      <c r="G576" s="9"/>
      <c r="H576" s="10"/>
      <c r="I576" s="21" t="b">
        <v>0</v>
      </c>
    </row>
    <row r="577" ht="22.5" customHeight="1">
      <c r="A577" s="10"/>
      <c r="B577" s="31"/>
      <c r="C577" s="41"/>
      <c r="D577" s="9"/>
      <c r="E577" s="10"/>
      <c r="F577" s="10"/>
      <c r="G577" s="9"/>
      <c r="H577" s="10"/>
      <c r="I577" s="21" t="b">
        <v>0</v>
      </c>
    </row>
    <row r="578" ht="22.5" customHeight="1">
      <c r="A578" s="10"/>
      <c r="B578" s="31"/>
      <c r="C578" s="41"/>
      <c r="D578" s="9"/>
      <c r="E578" s="10"/>
      <c r="F578" s="10"/>
      <c r="G578" s="9"/>
      <c r="H578" s="10"/>
      <c r="I578" s="21" t="b">
        <v>0</v>
      </c>
    </row>
    <row r="579" ht="22.5" customHeight="1">
      <c r="A579" s="10"/>
      <c r="B579" s="31"/>
      <c r="C579" s="41"/>
      <c r="D579" s="9"/>
      <c r="E579" s="10"/>
      <c r="F579" s="10"/>
      <c r="G579" s="9"/>
      <c r="H579" s="10"/>
      <c r="I579" s="21" t="b">
        <v>0</v>
      </c>
    </row>
    <row r="580" ht="22.5" customHeight="1">
      <c r="A580" s="10"/>
      <c r="B580" s="31"/>
      <c r="C580" s="41"/>
      <c r="D580" s="9"/>
      <c r="E580" s="10"/>
      <c r="F580" s="10"/>
      <c r="G580" s="9"/>
      <c r="H580" s="10"/>
      <c r="I580" s="21" t="b">
        <v>0</v>
      </c>
    </row>
    <row r="581" ht="22.5" customHeight="1">
      <c r="A581" s="10"/>
      <c r="B581" s="31"/>
      <c r="C581" s="41"/>
      <c r="D581" s="9"/>
      <c r="E581" s="10"/>
      <c r="F581" s="10"/>
      <c r="G581" s="9"/>
      <c r="H581" s="10"/>
      <c r="I581" s="21" t="b">
        <v>0</v>
      </c>
    </row>
    <row r="582" ht="22.5" customHeight="1">
      <c r="A582" s="10"/>
      <c r="B582" s="31"/>
      <c r="C582" s="41"/>
      <c r="D582" s="9"/>
      <c r="E582" s="10"/>
      <c r="F582" s="10"/>
      <c r="G582" s="9"/>
      <c r="H582" s="10"/>
      <c r="I582" s="21" t="b">
        <v>0</v>
      </c>
    </row>
    <row r="583" ht="22.5" customHeight="1">
      <c r="A583" s="10"/>
      <c r="B583" s="31"/>
      <c r="C583" s="41"/>
      <c r="D583" s="9"/>
      <c r="E583" s="10"/>
      <c r="F583" s="10"/>
      <c r="G583" s="9"/>
      <c r="H583" s="10"/>
      <c r="I583" s="21" t="b">
        <v>0</v>
      </c>
    </row>
    <row r="584" ht="22.5" customHeight="1">
      <c r="A584" s="10"/>
      <c r="B584" s="31"/>
      <c r="C584" s="41"/>
      <c r="D584" s="9"/>
      <c r="E584" s="10"/>
      <c r="F584" s="10"/>
      <c r="G584" s="9"/>
      <c r="H584" s="10"/>
      <c r="I584" s="21" t="b">
        <v>0</v>
      </c>
    </row>
    <row r="585" ht="22.5" customHeight="1">
      <c r="A585" s="10"/>
      <c r="B585" s="31"/>
      <c r="C585" s="41"/>
      <c r="D585" s="9"/>
      <c r="E585" s="10"/>
      <c r="F585" s="10"/>
      <c r="G585" s="9"/>
      <c r="H585" s="10"/>
      <c r="I585" s="21" t="b">
        <v>0</v>
      </c>
    </row>
    <row r="586" ht="22.5" customHeight="1">
      <c r="A586" s="10"/>
      <c r="B586" s="31"/>
      <c r="C586" s="41"/>
      <c r="D586" s="9"/>
      <c r="E586" s="10"/>
      <c r="F586" s="10"/>
      <c r="G586" s="9"/>
      <c r="H586" s="10"/>
      <c r="I586" s="21" t="b">
        <v>0</v>
      </c>
    </row>
    <row r="587" ht="22.5" customHeight="1">
      <c r="A587" s="10"/>
      <c r="B587" s="31"/>
      <c r="C587" s="41"/>
      <c r="D587" s="9"/>
      <c r="E587" s="10"/>
      <c r="F587" s="10"/>
      <c r="G587" s="9"/>
      <c r="H587" s="10"/>
      <c r="I587" s="21" t="b">
        <v>0</v>
      </c>
    </row>
    <row r="588" ht="22.5" customHeight="1">
      <c r="A588" s="10"/>
      <c r="B588" s="31"/>
      <c r="C588" s="41"/>
      <c r="D588" s="9"/>
      <c r="E588" s="10"/>
      <c r="F588" s="10"/>
      <c r="G588" s="9"/>
      <c r="H588" s="10"/>
      <c r="I588" s="21" t="b">
        <v>0</v>
      </c>
    </row>
    <row r="589" ht="22.5" customHeight="1">
      <c r="A589" s="10"/>
      <c r="B589" s="31"/>
      <c r="C589" s="41"/>
      <c r="D589" s="9"/>
      <c r="E589" s="10"/>
      <c r="F589" s="10"/>
      <c r="G589" s="9"/>
      <c r="H589" s="10"/>
      <c r="I589" s="21" t="b">
        <v>0</v>
      </c>
    </row>
    <row r="590" ht="22.5" customHeight="1">
      <c r="A590" s="10"/>
      <c r="B590" s="31"/>
      <c r="C590" s="41"/>
      <c r="D590" s="9"/>
      <c r="E590" s="10"/>
      <c r="F590" s="10"/>
      <c r="G590" s="9"/>
      <c r="H590" s="10"/>
      <c r="I590" s="21" t="b">
        <v>0</v>
      </c>
    </row>
    <row r="591" ht="22.5" customHeight="1">
      <c r="A591" s="10"/>
      <c r="B591" s="31"/>
      <c r="C591" s="41"/>
      <c r="D591" s="9"/>
      <c r="E591" s="10"/>
      <c r="F591" s="10"/>
      <c r="G591" s="9"/>
      <c r="H591" s="10"/>
      <c r="I591" s="21" t="b">
        <v>0</v>
      </c>
    </row>
    <row r="592" ht="22.5" customHeight="1">
      <c r="A592" s="10"/>
      <c r="B592" s="31"/>
      <c r="C592" s="41"/>
      <c r="D592" s="9"/>
      <c r="E592" s="10"/>
      <c r="F592" s="10"/>
      <c r="G592" s="9"/>
      <c r="H592" s="10"/>
      <c r="I592" s="21" t="b">
        <v>0</v>
      </c>
    </row>
    <row r="593" ht="22.5" customHeight="1">
      <c r="A593" s="10"/>
      <c r="B593" s="31"/>
      <c r="C593" s="41"/>
      <c r="D593" s="9"/>
      <c r="E593" s="10"/>
      <c r="F593" s="10"/>
      <c r="G593" s="9"/>
      <c r="H593" s="10"/>
      <c r="I593" s="21" t="b">
        <v>0</v>
      </c>
    </row>
    <row r="594" ht="22.5" customHeight="1">
      <c r="A594" s="10"/>
      <c r="B594" s="31"/>
      <c r="C594" s="41"/>
      <c r="D594" s="9"/>
      <c r="E594" s="10"/>
      <c r="F594" s="10"/>
      <c r="G594" s="9"/>
      <c r="H594" s="10"/>
      <c r="I594" s="21" t="b">
        <v>0</v>
      </c>
    </row>
    <row r="595" ht="22.5" customHeight="1">
      <c r="A595" s="10"/>
      <c r="B595" s="31"/>
      <c r="C595" s="41"/>
      <c r="D595" s="9"/>
      <c r="E595" s="10"/>
      <c r="F595" s="10"/>
      <c r="G595" s="9"/>
      <c r="H595" s="10"/>
      <c r="I595" s="21" t="b">
        <v>0</v>
      </c>
    </row>
    <row r="596" ht="22.5" customHeight="1">
      <c r="A596" s="10"/>
      <c r="B596" s="31"/>
      <c r="C596" s="41"/>
      <c r="D596" s="9"/>
      <c r="E596" s="10"/>
      <c r="F596" s="10"/>
      <c r="G596" s="9"/>
      <c r="H596" s="10"/>
      <c r="I596" s="21" t="b">
        <v>0</v>
      </c>
    </row>
    <row r="597" ht="22.5" customHeight="1">
      <c r="A597" s="10"/>
      <c r="B597" s="31"/>
      <c r="C597" s="41"/>
      <c r="D597" s="9"/>
      <c r="E597" s="10"/>
      <c r="F597" s="10"/>
      <c r="G597" s="9"/>
      <c r="H597" s="10"/>
      <c r="I597" s="21" t="b">
        <v>0</v>
      </c>
    </row>
    <row r="598" ht="22.5" customHeight="1">
      <c r="A598" s="10"/>
      <c r="B598" s="31"/>
      <c r="C598" s="41"/>
      <c r="D598" s="9"/>
      <c r="E598" s="10"/>
      <c r="F598" s="10"/>
      <c r="G598" s="9"/>
      <c r="H598" s="10"/>
      <c r="I598" s="21" t="b">
        <v>0</v>
      </c>
    </row>
    <row r="599" ht="22.5" customHeight="1">
      <c r="A599" s="10"/>
      <c r="B599" s="31"/>
      <c r="C599" s="41"/>
      <c r="D599" s="9"/>
      <c r="E599" s="10"/>
      <c r="F599" s="10"/>
      <c r="G599" s="9"/>
      <c r="H599" s="10"/>
      <c r="I599" s="21" t="b">
        <v>0</v>
      </c>
    </row>
    <row r="600" ht="22.5" customHeight="1">
      <c r="A600" s="10"/>
      <c r="B600" s="31"/>
      <c r="C600" s="41"/>
      <c r="D600" s="9"/>
      <c r="E600" s="10"/>
      <c r="F600" s="10"/>
      <c r="G600" s="9"/>
      <c r="H600" s="10"/>
      <c r="I600" s="21" t="b">
        <v>0</v>
      </c>
    </row>
    <row r="601" ht="22.5" customHeight="1">
      <c r="A601" s="10"/>
      <c r="B601" s="31"/>
      <c r="C601" s="41"/>
      <c r="D601" s="9"/>
      <c r="E601" s="10"/>
      <c r="F601" s="10"/>
      <c r="G601" s="9"/>
      <c r="H601" s="10"/>
      <c r="I601" s="21" t="b">
        <v>0</v>
      </c>
    </row>
    <row r="602" ht="22.5" customHeight="1">
      <c r="A602" s="10"/>
      <c r="B602" s="31"/>
      <c r="C602" s="41"/>
      <c r="D602" s="9"/>
      <c r="E602" s="10"/>
      <c r="F602" s="10"/>
      <c r="G602" s="9"/>
      <c r="H602" s="10"/>
      <c r="I602" s="21" t="b">
        <v>0</v>
      </c>
    </row>
    <row r="603" ht="22.5" customHeight="1">
      <c r="A603" s="10"/>
      <c r="B603" s="31"/>
      <c r="C603" s="41"/>
      <c r="D603" s="9"/>
      <c r="E603" s="10"/>
      <c r="F603" s="10"/>
      <c r="G603" s="9"/>
      <c r="H603" s="10"/>
      <c r="I603" s="21" t="b">
        <v>0</v>
      </c>
    </row>
    <row r="604" ht="22.5" customHeight="1">
      <c r="A604" s="10"/>
      <c r="B604" s="31"/>
      <c r="C604" s="41"/>
      <c r="D604" s="9"/>
      <c r="E604" s="10"/>
      <c r="F604" s="10"/>
      <c r="G604" s="9"/>
      <c r="H604" s="10"/>
      <c r="I604" s="21" t="b">
        <v>0</v>
      </c>
    </row>
    <row r="605" ht="22.5" customHeight="1">
      <c r="A605" s="10"/>
      <c r="B605" s="31"/>
      <c r="C605" s="41"/>
      <c r="D605" s="9"/>
      <c r="E605" s="10"/>
      <c r="F605" s="10"/>
      <c r="G605" s="9"/>
      <c r="H605" s="10"/>
      <c r="I605" s="21" t="b">
        <v>0</v>
      </c>
    </row>
    <row r="606" ht="22.5" customHeight="1">
      <c r="A606" s="10"/>
      <c r="B606" s="31"/>
      <c r="C606" s="41"/>
      <c r="D606" s="9"/>
      <c r="E606" s="10"/>
      <c r="F606" s="10"/>
      <c r="G606" s="9"/>
      <c r="H606" s="10"/>
      <c r="I606" s="21" t="b">
        <v>0</v>
      </c>
    </row>
    <row r="607" ht="22.5" customHeight="1">
      <c r="A607" s="10"/>
      <c r="B607" s="31"/>
      <c r="C607" s="41"/>
      <c r="D607" s="9"/>
      <c r="E607" s="10"/>
      <c r="F607" s="10"/>
      <c r="G607" s="9"/>
      <c r="H607" s="10"/>
      <c r="I607" s="21" t="b">
        <v>0</v>
      </c>
    </row>
    <row r="608" ht="22.5" customHeight="1">
      <c r="A608" s="10"/>
      <c r="B608" s="31"/>
      <c r="C608" s="41"/>
      <c r="D608" s="9"/>
      <c r="E608" s="10"/>
      <c r="F608" s="10"/>
      <c r="G608" s="9"/>
      <c r="H608" s="10"/>
      <c r="I608" s="21" t="b">
        <v>0</v>
      </c>
    </row>
    <row r="609" ht="22.5" customHeight="1">
      <c r="A609" s="10"/>
      <c r="B609" s="31"/>
      <c r="C609" s="41"/>
      <c r="D609" s="9"/>
      <c r="E609" s="10"/>
      <c r="F609" s="10"/>
      <c r="G609" s="9"/>
      <c r="H609" s="10"/>
      <c r="I609" s="21" t="b">
        <v>0</v>
      </c>
    </row>
    <row r="610" ht="22.5" customHeight="1">
      <c r="A610" s="10"/>
      <c r="B610" s="31"/>
      <c r="C610" s="41"/>
      <c r="D610" s="9"/>
      <c r="E610" s="10"/>
      <c r="F610" s="10"/>
      <c r="G610" s="9"/>
      <c r="H610" s="10"/>
      <c r="I610" s="21" t="b">
        <v>0</v>
      </c>
    </row>
    <row r="611" ht="22.5" customHeight="1">
      <c r="A611" s="10"/>
      <c r="B611" s="31"/>
      <c r="C611" s="41"/>
      <c r="D611" s="9"/>
      <c r="E611" s="10"/>
      <c r="F611" s="10"/>
      <c r="G611" s="9"/>
      <c r="H611" s="10"/>
      <c r="I611" s="21" t="b">
        <v>0</v>
      </c>
    </row>
    <row r="612" ht="22.5" customHeight="1">
      <c r="A612" s="10"/>
      <c r="B612" s="31"/>
      <c r="C612" s="41"/>
      <c r="D612" s="9"/>
      <c r="E612" s="10"/>
      <c r="F612" s="10"/>
      <c r="G612" s="9"/>
      <c r="H612" s="10"/>
      <c r="I612" s="21" t="b">
        <v>0</v>
      </c>
    </row>
    <row r="613" ht="22.5" customHeight="1">
      <c r="A613" s="10"/>
      <c r="B613" s="31"/>
      <c r="C613" s="41"/>
      <c r="D613" s="9"/>
      <c r="E613" s="10"/>
      <c r="F613" s="10"/>
      <c r="G613" s="9"/>
      <c r="H613" s="10"/>
      <c r="I613" s="21" t="b">
        <v>0</v>
      </c>
    </row>
    <row r="614" ht="22.5" customHeight="1">
      <c r="A614" s="10"/>
      <c r="B614" s="31"/>
      <c r="C614" s="41"/>
      <c r="D614" s="9"/>
      <c r="E614" s="10"/>
      <c r="F614" s="10"/>
      <c r="G614" s="9"/>
      <c r="H614" s="10"/>
      <c r="I614" s="21" t="b">
        <v>0</v>
      </c>
    </row>
    <row r="615" ht="22.5" customHeight="1">
      <c r="A615" s="10"/>
      <c r="B615" s="31"/>
      <c r="C615" s="41"/>
      <c r="D615" s="9"/>
      <c r="E615" s="10"/>
      <c r="F615" s="10"/>
      <c r="G615" s="9"/>
      <c r="H615" s="10"/>
      <c r="I615" s="21" t="b">
        <v>0</v>
      </c>
    </row>
    <row r="616" ht="22.5" customHeight="1">
      <c r="A616" s="10"/>
      <c r="B616" s="31"/>
      <c r="C616" s="41"/>
      <c r="D616" s="9"/>
      <c r="E616" s="10"/>
      <c r="F616" s="10"/>
      <c r="G616" s="9"/>
      <c r="H616" s="10"/>
      <c r="I616" s="21" t="b">
        <v>0</v>
      </c>
    </row>
    <row r="617" ht="22.5" customHeight="1">
      <c r="A617" s="10"/>
      <c r="B617" s="31"/>
      <c r="C617" s="41"/>
      <c r="D617" s="9"/>
      <c r="E617" s="10"/>
      <c r="F617" s="10"/>
      <c r="G617" s="9"/>
      <c r="H617" s="10"/>
      <c r="I617" s="21" t="b">
        <v>0</v>
      </c>
    </row>
    <row r="618" ht="22.5" customHeight="1">
      <c r="A618" s="10"/>
      <c r="B618" s="31"/>
      <c r="C618" s="41"/>
      <c r="D618" s="9"/>
      <c r="E618" s="10"/>
      <c r="F618" s="10"/>
      <c r="G618" s="9"/>
      <c r="H618" s="10"/>
      <c r="I618" s="21" t="b">
        <v>0</v>
      </c>
    </row>
    <row r="619" ht="22.5" customHeight="1">
      <c r="A619" s="10"/>
      <c r="B619" s="31"/>
      <c r="C619" s="41"/>
      <c r="D619" s="9"/>
      <c r="E619" s="10"/>
      <c r="F619" s="10"/>
      <c r="G619" s="9"/>
      <c r="H619" s="10"/>
      <c r="I619" s="21" t="b">
        <v>0</v>
      </c>
    </row>
    <row r="620" ht="22.5" customHeight="1">
      <c r="A620" s="10"/>
      <c r="B620" s="31"/>
      <c r="C620" s="41"/>
      <c r="D620" s="9"/>
      <c r="E620" s="10"/>
      <c r="F620" s="10"/>
      <c r="G620" s="9"/>
      <c r="H620" s="10"/>
      <c r="I620" s="21" t="b">
        <v>0</v>
      </c>
    </row>
    <row r="621" ht="22.5" customHeight="1">
      <c r="A621" s="10"/>
      <c r="B621" s="31"/>
      <c r="C621" s="41"/>
      <c r="D621" s="9"/>
      <c r="E621" s="10"/>
      <c r="F621" s="10"/>
      <c r="G621" s="9"/>
      <c r="H621" s="10"/>
      <c r="I621" s="21" t="b">
        <v>0</v>
      </c>
    </row>
    <row r="622" ht="22.5" customHeight="1">
      <c r="A622" s="10"/>
      <c r="B622" s="31"/>
      <c r="C622" s="41"/>
      <c r="D622" s="9"/>
      <c r="E622" s="10"/>
      <c r="F622" s="10"/>
      <c r="G622" s="9"/>
      <c r="H622" s="10"/>
      <c r="I622" s="21" t="b">
        <v>0</v>
      </c>
    </row>
    <row r="623" ht="22.5" customHeight="1">
      <c r="A623" s="10"/>
      <c r="B623" s="31"/>
      <c r="C623" s="41"/>
      <c r="D623" s="9"/>
      <c r="E623" s="10"/>
      <c r="F623" s="10"/>
      <c r="G623" s="9"/>
      <c r="H623" s="10"/>
      <c r="I623" s="21" t="b">
        <v>0</v>
      </c>
    </row>
    <row r="624" ht="22.5" customHeight="1">
      <c r="A624" s="10"/>
      <c r="B624" s="31"/>
      <c r="C624" s="41"/>
      <c r="D624" s="9"/>
      <c r="E624" s="10"/>
      <c r="F624" s="10"/>
      <c r="G624" s="9"/>
      <c r="H624" s="10"/>
      <c r="I624" s="21" t="b">
        <v>0</v>
      </c>
    </row>
    <row r="625" ht="22.5" customHeight="1">
      <c r="A625" s="10"/>
      <c r="B625" s="31"/>
      <c r="C625" s="41"/>
      <c r="D625" s="9"/>
      <c r="E625" s="10"/>
      <c r="F625" s="10"/>
      <c r="G625" s="9"/>
      <c r="H625" s="10"/>
      <c r="I625" s="21" t="b">
        <v>0</v>
      </c>
    </row>
    <row r="626" ht="22.5" customHeight="1">
      <c r="A626" s="10"/>
      <c r="B626" s="31"/>
      <c r="C626" s="41"/>
      <c r="D626" s="9"/>
      <c r="E626" s="10"/>
      <c r="F626" s="10"/>
      <c r="G626" s="9"/>
      <c r="H626" s="10"/>
      <c r="I626" s="21" t="b">
        <v>0</v>
      </c>
    </row>
    <row r="627" ht="22.5" customHeight="1">
      <c r="A627" s="10"/>
      <c r="B627" s="31"/>
      <c r="C627" s="41"/>
      <c r="D627" s="9"/>
      <c r="E627" s="10"/>
      <c r="F627" s="10"/>
      <c r="G627" s="9"/>
      <c r="H627" s="10"/>
      <c r="I627" s="21" t="b">
        <v>0</v>
      </c>
    </row>
    <row r="628" ht="22.5" customHeight="1">
      <c r="A628" s="10"/>
      <c r="B628" s="31"/>
      <c r="C628" s="41"/>
      <c r="D628" s="9"/>
      <c r="E628" s="10"/>
      <c r="F628" s="10"/>
      <c r="G628" s="9"/>
      <c r="H628" s="10"/>
      <c r="I628" s="21" t="b">
        <v>0</v>
      </c>
    </row>
    <row r="629" ht="22.5" customHeight="1">
      <c r="A629" s="10"/>
      <c r="B629" s="31"/>
      <c r="C629" s="41"/>
      <c r="D629" s="9"/>
      <c r="E629" s="10"/>
      <c r="F629" s="10"/>
      <c r="G629" s="9"/>
      <c r="H629" s="10"/>
      <c r="I629" s="21" t="b">
        <v>0</v>
      </c>
    </row>
    <row r="630" ht="22.5" customHeight="1">
      <c r="A630" s="10"/>
      <c r="B630" s="31"/>
      <c r="C630" s="41"/>
      <c r="D630" s="9"/>
      <c r="E630" s="10"/>
      <c r="F630" s="10"/>
      <c r="G630" s="9"/>
      <c r="H630" s="10"/>
      <c r="I630" s="21" t="b">
        <v>0</v>
      </c>
    </row>
    <row r="631" ht="22.5" customHeight="1">
      <c r="A631" s="10"/>
      <c r="B631" s="31"/>
      <c r="C631" s="41"/>
      <c r="D631" s="9"/>
      <c r="E631" s="10"/>
      <c r="F631" s="10"/>
      <c r="G631" s="9"/>
      <c r="H631" s="10"/>
      <c r="I631" s="21" t="b">
        <v>0</v>
      </c>
    </row>
    <row r="632" ht="22.5" customHeight="1">
      <c r="A632" s="10"/>
      <c r="B632" s="31"/>
      <c r="C632" s="41"/>
      <c r="D632" s="9"/>
      <c r="E632" s="10"/>
      <c r="F632" s="10"/>
      <c r="G632" s="9"/>
      <c r="H632" s="10"/>
      <c r="I632" s="21" t="b">
        <v>0</v>
      </c>
    </row>
    <row r="633" ht="22.5" customHeight="1">
      <c r="A633" s="10"/>
      <c r="B633" s="31"/>
      <c r="C633" s="41"/>
      <c r="D633" s="9"/>
      <c r="E633" s="10"/>
      <c r="F633" s="10"/>
      <c r="G633" s="9"/>
      <c r="H633" s="10"/>
      <c r="I633" s="21" t="b">
        <v>0</v>
      </c>
    </row>
    <row r="634" ht="22.5" customHeight="1">
      <c r="A634" s="10"/>
      <c r="B634" s="31"/>
      <c r="C634" s="41"/>
      <c r="D634" s="9"/>
      <c r="E634" s="10"/>
      <c r="F634" s="10"/>
      <c r="G634" s="9"/>
      <c r="H634" s="10"/>
      <c r="I634" s="21" t="b">
        <v>0</v>
      </c>
    </row>
    <row r="635" ht="22.5" customHeight="1">
      <c r="A635" s="10"/>
      <c r="B635" s="31"/>
      <c r="C635" s="41"/>
      <c r="D635" s="9"/>
      <c r="E635" s="10"/>
      <c r="F635" s="10"/>
      <c r="G635" s="9"/>
      <c r="H635" s="10"/>
      <c r="I635" s="21" t="b">
        <v>0</v>
      </c>
    </row>
    <row r="636" ht="22.5" customHeight="1">
      <c r="A636" s="10"/>
      <c r="B636" s="31"/>
      <c r="C636" s="41"/>
      <c r="D636" s="9"/>
      <c r="E636" s="10"/>
      <c r="F636" s="10"/>
      <c r="G636" s="9"/>
      <c r="H636" s="10"/>
      <c r="I636" s="21" t="b">
        <v>0</v>
      </c>
    </row>
    <row r="637" ht="22.5" customHeight="1">
      <c r="A637" s="10"/>
      <c r="B637" s="31"/>
      <c r="C637" s="41"/>
      <c r="D637" s="9"/>
      <c r="E637" s="10"/>
      <c r="F637" s="10"/>
      <c r="G637" s="9"/>
      <c r="H637" s="10"/>
      <c r="I637" s="21" t="b">
        <v>0</v>
      </c>
    </row>
    <row r="638" ht="22.5" customHeight="1">
      <c r="A638" s="10"/>
      <c r="B638" s="31"/>
      <c r="C638" s="41"/>
      <c r="D638" s="9"/>
      <c r="E638" s="10"/>
      <c r="F638" s="10"/>
      <c r="G638" s="9"/>
      <c r="H638" s="10"/>
      <c r="I638" s="21" t="b">
        <v>0</v>
      </c>
    </row>
    <row r="639" ht="22.5" customHeight="1">
      <c r="A639" s="10"/>
      <c r="B639" s="31"/>
      <c r="C639" s="41"/>
      <c r="D639" s="9"/>
      <c r="E639" s="10"/>
      <c r="F639" s="10"/>
      <c r="G639" s="9"/>
      <c r="H639" s="10"/>
      <c r="I639" s="21" t="b">
        <v>0</v>
      </c>
    </row>
    <row r="640" ht="22.5" customHeight="1">
      <c r="A640" s="10"/>
      <c r="B640" s="31"/>
      <c r="C640" s="41"/>
      <c r="D640" s="9"/>
      <c r="E640" s="10"/>
      <c r="F640" s="10"/>
      <c r="G640" s="9"/>
      <c r="H640" s="10"/>
      <c r="I640" s="21" t="b">
        <v>0</v>
      </c>
    </row>
    <row r="641" ht="22.5" customHeight="1">
      <c r="A641" s="10"/>
      <c r="B641" s="31"/>
      <c r="C641" s="41"/>
      <c r="D641" s="9"/>
      <c r="E641" s="10"/>
      <c r="F641" s="10"/>
      <c r="G641" s="9"/>
      <c r="H641" s="10"/>
      <c r="I641" s="21" t="b">
        <v>0</v>
      </c>
    </row>
    <row r="642" ht="22.5" customHeight="1">
      <c r="A642" s="10"/>
      <c r="B642" s="31"/>
      <c r="C642" s="41"/>
      <c r="D642" s="9"/>
      <c r="E642" s="10"/>
      <c r="F642" s="10"/>
      <c r="G642" s="9"/>
      <c r="H642" s="10"/>
      <c r="I642" s="21" t="b">
        <v>0</v>
      </c>
    </row>
    <row r="643" ht="22.5" customHeight="1">
      <c r="A643" s="10"/>
      <c r="B643" s="31"/>
      <c r="C643" s="41"/>
      <c r="D643" s="9"/>
      <c r="E643" s="10"/>
      <c r="F643" s="10"/>
      <c r="G643" s="9"/>
      <c r="H643" s="10"/>
      <c r="I643" s="21" t="b">
        <v>0</v>
      </c>
    </row>
    <row r="644" ht="22.5" customHeight="1">
      <c r="A644" s="10"/>
      <c r="B644" s="31"/>
      <c r="C644" s="41"/>
      <c r="D644" s="9"/>
      <c r="E644" s="10"/>
      <c r="F644" s="10"/>
      <c r="G644" s="9"/>
      <c r="H644" s="10"/>
      <c r="I644" s="21" t="b">
        <v>0</v>
      </c>
    </row>
    <row r="645" ht="22.5" customHeight="1">
      <c r="A645" s="10"/>
      <c r="B645" s="31"/>
      <c r="C645" s="41"/>
      <c r="D645" s="9"/>
      <c r="E645" s="10"/>
      <c r="F645" s="10"/>
      <c r="G645" s="9"/>
      <c r="H645" s="10"/>
      <c r="I645" s="21" t="b">
        <v>0</v>
      </c>
    </row>
    <row r="646" ht="22.5" customHeight="1">
      <c r="A646" s="10"/>
      <c r="B646" s="31"/>
      <c r="C646" s="41"/>
      <c r="D646" s="9"/>
      <c r="E646" s="10"/>
      <c r="F646" s="10"/>
      <c r="G646" s="9"/>
      <c r="H646" s="10"/>
      <c r="I646" s="21" t="b">
        <v>0</v>
      </c>
    </row>
    <row r="647" ht="22.5" customHeight="1">
      <c r="A647" s="10"/>
      <c r="B647" s="31"/>
      <c r="C647" s="41"/>
      <c r="D647" s="9"/>
      <c r="E647" s="10"/>
      <c r="F647" s="10"/>
      <c r="G647" s="9"/>
      <c r="H647" s="10"/>
      <c r="I647" s="21" t="b">
        <v>0</v>
      </c>
    </row>
    <row r="648" ht="22.5" customHeight="1">
      <c r="A648" s="10"/>
      <c r="B648" s="31"/>
      <c r="C648" s="41"/>
      <c r="D648" s="9"/>
      <c r="E648" s="10"/>
      <c r="F648" s="10"/>
      <c r="G648" s="9"/>
      <c r="H648" s="10"/>
      <c r="I648" s="21" t="b">
        <v>0</v>
      </c>
    </row>
    <row r="649" ht="22.5" customHeight="1">
      <c r="A649" s="10"/>
      <c r="B649" s="31"/>
      <c r="C649" s="41"/>
      <c r="D649" s="9"/>
      <c r="E649" s="10"/>
      <c r="F649" s="10"/>
      <c r="G649" s="9"/>
      <c r="H649" s="10"/>
      <c r="I649" s="21" t="b">
        <v>0</v>
      </c>
    </row>
    <row r="650" ht="22.5" customHeight="1">
      <c r="A650" s="10"/>
      <c r="B650" s="31"/>
      <c r="C650" s="41"/>
      <c r="D650" s="9"/>
      <c r="E650" s="10"/>
      <c r="F650" s="10"/>
      <c r="G650" s="9"/>
      <c r="H650" s="10"/>
      <c r="I650" s="21" t="b">
        <v>0</v>
      </c>
    </row>
    <row r="651" ht="22.5" customHeight="1">
      <c r="A651" s="10"/>
      <c r="B651" s="31"/>
      <c r="C651" s="41"/>
      <c r="D651" s="9"/>
      <c r="E651" s="10"/>
      <c r="F651" s="10"/>
      <c r="G651" s="9"/>
      <c r="H651" s="10"/>
      <c r="I651" s="21" t="b">
        <v>0</v>
      </c>
    </row>
    <row r="652" ht="22.5" customHeight="1">
      <c r="A652" s="10"/>
      <c r="B652" s="31"/>
      <c r="C652" s="41"/>
      <c r="D652" s="9"/>
      <c r="E652" s="10"/>
      <c r="F652" s="10"/>
      <c r="G652" s="9"/>
      <c r="H652" s="10"/>
      <c r="I652" s="21" t="b">
        <v>0</v>
      </c>
    </row>
    <row r="653" ht="22.5" customHeight="1">
      <c r="A653" s="10"/>
      <c r="B653" s="31"/>
      <c r="C653" s="41"/>
      <c r="D653" s="9"/>
      <c r="E653" s="10"/>
      <c r="F653" s="10"/>
      <c r="G653" s="9"/>
      <c r="H653" s="10"/>
      <c r="I653" s="21" t="b">
        <v>0</v>
      </c>
    </row>
    <row r="654" ht="22.5" customHeight="1">
      <c r="A654" s="10"/>
      <c r="B654" s="31"/>
      <c r="C654" s="41"/>
      <c r="D654" s="9"/>
      <c r="E654" s="10"/>
      <c r="F654" s="10"/>
      <c r="G654" s="9"/>
      <c r="H654" s="10"/>
      <c r="I654" s="21" t="b">
        <v>0</v>
      </c>
    </row>
    <row r="655" ht="22.5" customHeight="1">
      <c r="A655" s="10"/>
      <c r="B655" s="31"/>
      <c r="C655" s="41"/>
      <c r="D655" s="9"/>
      <c r="E655" s="10"/>
      <c r="F655" s="10"/>
      <c r="G655" s="9"/>
      <c r="H655" s="10"/>
      <c r="I655" s="21" t="b">
        <v>0</v>
      </c>
    </row>
    <row r="656" ht="22.5" customHeight="1">
      <c r="A656" s="10"/>
      <c r="B656" s="31"/>
      <c r="C656" s="41"/>
      <c r="D656" s="9"/>
      <c r="E656" s="10"/>
      <c r="F656" s="10"/>
      <c r="G656" s="9"/>
      <c r="H656" s="10"/>
      <c r="I656" s="21" t="b">
        <v>0</v>
      </c>
    </row>
    <row r="657" ht="22.5" customHeight="1">
      <c r="A657" s="10"/>
      <c r="B657" s="31"/>
      <c r="C657" s="41"/>
      <c r="D657" s="9"/>
      <c r="E657" s="10"/>
      <c r="F657" s="10"/>
      <c r="G657" s="9"/>
      <c r="H657" s="10"/>
      <c r="I657" s="21" t="b">
        <v>0</v>
      </c>
    </row>
    <row r="658" ht="22.5" customHeight="1">
      <c r="A658" s="10"/>
      <c r="B658" s="31"/>
      <c r="C658" s="41"/>
      <c r="D658" s="9"/>
      <c r="E658" s="10"/>
      <c r="F658" s="10"/>
      <c r="G658" s="9"/>
      <c r="H658" s="10"/>
      <c r="I658" s="21" t="b">
        <v>0</v>
      </c>
    </row>
    <row r="659" ht="22.5" customHeight="1">
      <c r="A659" s="10"/>
      <c r="B659" s="31"/>
      <c r="C659" s="41"/>
      <c r="D659" s="9"/>
      <c r="E659" s="10"/>
      <c r="F659" s="10"/>
      <c r="G659" s="9"/>
      <c r="H659" s="10"/>
      <c r="I659" s="21" t="b">
        <v>0</v>
      </c>
    </row>
    <row r="660" ht="22.5" customHeight="1">
      <c r="A660" s="10"/>
      <c r="B660" s="31"/>
      <c r="C660" s="41"/>
      <c r="D660" s="9"/>
      <c r="E660" s="10"/>
      <c r="F660" s="10"/>
      <c r="G660" s="9"/>
      <c r="H660" s="10"/>
      <c r="I660" s="21" t="b">
        <v>0</v>
      </c>
    </row>
    <row r="661" ht="22.5" customHeight="1">
      <c r="A661" s="10"/>
      <c r="B661" s="31"/>
      <c r="C661" s="41"/>
      <c r="D661" s="9"/>
      <c r="E661" s="10"/>
      <c r="F661" s="10"/>
      <c r="G661" s="9"/>
      <c r="H661" s="10"/>
      <c r="I661" s="21" t="b">
        <v>0</v>
      </c>
    </row>
    <row r="662" ht="22.5" customHeight="1">
      <c r="A662" s="10"/>
      <c r="B662" s="31"/>
      <c r="C662" s="41"/>
      <c r="D662" s="9"/>
      <c r="E662" s="10"/>
      <c r="F662" s="10"/>
      <c r="G662" s="9"/>
      <c r="H662" s="10"/>
      <c r="I662" s="21" t="b">
        <v>0</v>
      </c>
    </row>
    <row r="663" ht="22.5" customHeight="1">
      <c r="A663" s="10"/>
      <c r="B663" s="31"/>
      <c r="C663" s="41"/>
      <c r="D663" s="9"/>
      <c r="E663" s="10"/>
      <c r="F663" s="10"/>
      <c r="G663" s="9"/>
      <c r="H663" s="10"/>
      <c r="I663" s="21" t="b">
        <v>0</v>
      </c>
    </row>
    <row r="664" ht="22.5" customHeight="1">
      <c r="A664" s="10"/>
      <c r="B664" s="31"/>
      <c r="C664" s="41"/>
      <c r="D664" s="9"/>
      <c r="E664" s="10"/>
      <c r="F664" s="10"/>
      <c r="G664" s="9"/>
      <c r="H664" s="10"/>
      <c r="I664" s="21" t="b">
        <v>0</v>
      </c>
    </row>
    <row r="665" ht="22.5" customHeight="1">
      <c r="A665" s="10"/>
      <c r="B665" s="31"/>
      <c r="C665" s="41"/>
      <c r="D665" s="9"/>
      <c r="E665" s="10"/>
      <c r="F665" s="10"/>
      <c r="G665" s="9"/>
      <c r="H665" s="10"/>
      <c r="I665" s="21" t="b">
        <v>0</v>
      </c>
    </row>
    <row r="666" ht="22.5" customHeight="1">
      <c r="A666" s="10"/>
      <c r="B666" s="31"/>
      <c r="C666" s="41"/>
      <c r="D666" s="9"/>
      <c r="E666" s="10"/>
      <c r="F666" s="10"/>
      <c r="G666" s="9"/>
      <c r="H666" s="10"/>
      <c r="I666" s="21" t="b">
        <v>0</v>
      </c>
    </row>
    <row r="667" ht="22.5" customHeight="1">
      <c r="A667" s="10"/>
      <c r="B667" s="31"/>
      <c r="C667" s="41"/>
      <c r="D667" s="9"/>
      <c r="E667" s="10"/>
      <c r="F667" s="10"/>
      <c r="G667" s="9"/>
      <c r="H667" s="10"/>
      <c r="I667" s="21" t="b">
        <v>0</v>
      </c>
    </row>
    <row r="668" ht="22.5" customHeight="1">
      <c r="A668" s="10"/>
      <c r="B668" s="31"/>
      <c r="C668" s="41"/>
      <c r="D668" s="9"/>
      <c r="E668" s="10"/>
      <c r="F668" s="10"/>
      <c r="G668" s="9"/>
      <c r="H668" s="10"/>
      <c r="I668" s="21" t="b">
        <v>0</v>
      </c>
    </row>
    <row r="669" ht="22.5" customHeight="1">
      <c r="A669" s="10"/>
      <c r="B669" s="31"/>
      <c r="C669" s="41"/>
      <c r="D669" s="9"/>
      <c r="E669" s="10"/>
      <c r="F669" s="10"/>
      <c r="G669" s="9"/>
      <c r="H669" s="10"/>
      <c r="I669" s="21" t="b">
        <v>0</v>
      </c>
    </row>
    <row r="670" ht="22.5" customHeight="1">
      <c r="A670" s="10"/>
      <c r="B670" s="31"/>
      <c r="C670" s="41"/>
      <c r="D670" s="9"/>
      <c r="E670" s="10"/>
      <c r="F670" s="10"/>
      <c r="G670" s="9"/>
      <c r="H670" s="10"/>
      <c r="I670" s="21" t="b">
        <v>0</v>
      </c>
    </row>
    <row r="671" ht="22.5" customHeight="1">
      <c r="A671" s="10"/>
      <c r="B671" s="31"/>
      <c r="C671" s="41"/>
      <c r="D671" s="9"/>
      <c r="E671" s="10"/>
      <c r="F671" s="10"/>
      <c r="G671" s="9"/>
      <c r="H671" s="10"/>
      <c r="I671" s="21" t="b">
        <v>0</v>
      </c>
    </row>
    <row r="672" ht="22.5" customHeight="1">
      <c r="A672" s="10"/>
      <c r="B672" s="31"/>
      <c r="C672" s="41"/>
      <c r="D672" s="9"/>
      <c r="E672" s="10"/>
      <c r="F672" s="10"/>
      <c r="G672" s="9"/>
      <c r="H672" s="10"/>
      <c r="I672" s="21" t="b">
        <v>0</v>
      </c>
    </row>
    <row r="673" ht="22.5" customHeight="1">
      <c r="A673" s="10"/>
      <c r="B673" s="31"/>
      <c r="C673" s="41"/>
      <c r="D673" s="9"/>
      <c r="E673" s="10"/>
      <c r="F673" s="10"/>
      <c r="G673" s="9"/>
      <c r="H673" s="10"/>
      <c r="I673" s="21" t="b">
        <v>0</v>
      </c>
    </row>
    <row r="674" ht="22.5" customHeight="1">
      <c r="A674" s="10"/>
      <c r="B674" s="31"/>
      <c r="C674" s="41"/>
      <c r="D674" s="9"/>
      <c r="E674" s="10"/>
      <c r="F674" s="10"/>
      <c r="G674" s="9"/>
      <c r="H674" s="10"/>
      <c r="I674" s="21" t="b">
        <v>0</v>
      </c>
    </row>
    <row r="675" ht="22.5" customHeight="1">
      <c r="A675" s="10"/>
      <c r="B675" s="31"/>
      <c r="C675" s="41"/>
      <c r="D675" s="9"/>
      <c r="E675" s="10"/>
      <c r="F675" s="10"/>
      <c r="G675" s="9"/>
      <c r="H675" s="10"/>
      <c r="I675" s="21" t="b">
        <v>0</v>
      </c>
    </row>
    <row r="676" ht="22.5" customHeight="1">
      <c r="A676" s="10"/>
      <c r="B676" s="31"/>
      <c r="C676" s="41"/>
      <c r="D676" s="9"/>
      <c r="E676" s="10"/>
      <c r="F676" s="10"/>
      <c r="G676" s="9"/>
      <c r="H676" s="10"/>
      <c r="I676" s="21" t="b">
        <v>0</v>
      </c>
    </row>
    <row r="677" ht="22.5" customHeight="1">
      <c r="A677" s="10"/>
      <c r="B677" s="31"/>
      <c r="C677" s="41"/>
      <c r="D677" s="9"/>
      <c r="E677" s="10"/>
      <c r="F677" s="10"/>
      <c r="G677" s="9"/>
      <c r="H677" s="10"/>
      <c r="I677" s="21" t="b">
        <v>0</v>
      </c>
    </row>
    <row r="678" ht="22.5" customHeight="1">
      <c r="A678" s="10"/>
      <c r="B678" s="31"/>
      <c r="C678" s="41"/>
      <c r="D678" s="9"/>
      <c r="E678" s="10"/>
      <c r="F678" s="10"/>
      <c r="G678" s="9"/>
      <c r="H678" s="10"/>
      <c r="I678" s="21" t="b">
        <v>0</v>
      </c>
    </row>
    <row r="679" ht="22.5" customHeight="1">
      <c r="A679" s="10"/>
      <c r="B679" s="31"/>
      <c r="C679" s="41"/>
      <c r="D679" s="9"/>
      <c r="E679" s="10"/>
      <c r="F679" s="10"/>
      <c r="G679" s="9"/>
      <c r="H679" s="10"/>
      <c r="I679" s="21" t="b">
        <v>0</v>
      </c>
    </row>
    <row r="680" ht="22.5" customHeight="1">
      <c r="A680" s="10"/>
      <c r="B680" s="31"/>
      <c r="C680" s="41"/>
      <c r="D680" s="9"/>
      <c r="E680" s="10"/>
      <c r="F680" s="10"/>
      <c r="G680" s="9"/>
      <c r="H680" s="10"/>
      <c r="I680" s="21" t="b">
        <v>0</v>
      </c>
    </row>
    <row r="681" ht="22.5" customHeight="1">
      <c r="A681" s="10"/>
      <c r="B681" s="31"/>
      <c r="C681" s="41"/>
      <c r="D681" s="9"/>
      <c r="E681" s="10"/>
      <c r="F681" s="10"/>
      <c r="G681" s="9"/>
      <c r="H681" s="10"/>
      <c r="I681" s="21" t="b">
        <v>0</v>
      </c>
    </row>
    <row r="682" ht="22.5" customHeight="1">
      <c r="A682" s="10"/>
      <c r="B682" s="31"/>
      <c r="C682" s="41"/>
      <c r="D682" s="9"/>
      <c r="E682" s="10"/>
      <c r="F682" s="10"/>
      <c r="G682" s="9"/>
      <c r="H682" s="10"/>
      <c r="I682" s="21" t="b">
        <v>0</v>
      </c>
    </row>
    <row r="683" ht="22.5" customHeight="1">
      <c r="A683" s="10"/>
      <c r="B683" s="31"/>
      <c r="C683" s="41"/>
      <c r="D683" s="9"/>
      <c r="E683" s="10"/>
      <c r="F683" s="10"/>
      <c r="G683" s="9"/>
      <c r="H683" s="10"/>
      <c r="I683" s="21" t="b">
        <v>0</v>
      </c>
    </row>
    <row r="684" ht="22.5" customHeight="1">
      <c r="A684" s="10"/>
      <c r="B684" s="31"/>
      <c r="C684" s="41"/>
      <c r="D684" s="9"/>
      <c r="E684" s="10"/>
      <c r="F684" s="10"/>
      <c r="G684" s="9"/>
      <c r="H684" s="10"/>
      <c r="I684" s="21" t="b">
        <v>0</v>
      </c>
    </row>
    <row r="685" ht="22.5" customHeight="1">
      <c r="A685" s="10"/>
      <c r="B685" s="31"/>
      <c r="C685" s="41"/>
      <c r="D685" s="9"/>
      <c r="E685" s="10"/>
      <c r="F685" s="10"/>
      <c r="G685" s="9"/>
      <c r="H685" s="10"/>
      <c r="I685" s="21" t="b">
        <v>0</v>
      </c>
    </row>
    <row r="686" ht="22.5" customHeight="1">
      <c r="A686" s="10"/>
      <c r="B686" s="31"/>
      <c r="C686" s="41"/>
      <c r="D686" s="9"/>
      <c r="E686" s="10"/>
      <c r="F686" s="10"/>
      <c r="G686" s="9"/>
      <c r="H686" s="10"/>
      <c r="I686" s="21" t="b">
        <v>0</v>
      </c>
    </row>
    <row r="687" ht="22.5" customHeight="1">
      <c r="A687" s="10"/>
      <c r="B687" s="31"/>
      <c r="C687" s="41"/>
      <c r="D687" s="9"/>
      <c r="E687" s="10"/>
      <c r="F687" s="10"/>
      <c r="G687" s="9"/>
      <c r="H687" s="10"/>
      <c r="I687" s="21" t="b">
        <v>0</v>
      </c>
    </row>
    <row r="688" ht="22.5" customHeight="1">
      <c r="A688" s="10"/>
      <c r="B688" s="31"/>
      <c r="C688" s="41"/>
      <c r="D688" s="9"/>
      <c r="E688" s="10"/>
      <c r="F688" s="10"/>
      <c r="G688" s="9"/>
      <c r="H688" s="10"/>
      <c r="I688" s="21" t="b">
        <v>0</v>
      </c>
    </row>
    <row r="689" ht="22.5" customHeight="1">
      <c r="A689" s="10"/>
      <c r="B689" s="31"/>
      <c r="C689" s="41"/>
      <c r="D689" s="9"/>
      <c r="E689" s="10"/>
      <c r="F689" s="10"/>
      <c r="G689" s="9"/>
      <c r="H689" s="10"/>
      <c r="I689" s="21" t="b">
        <v>0</v>
      </c>
    </row>
    <row r="690" ht="22.5" customHeight="1">
      <c r="A690" s="10"/>
      <c r="B690" s="31"/>
      <c r="C690" s="41"/>
      <c r="D690" s="9"/>
      <c r="E690" s="10"/>
      <c r="F690" s="10"/>
      <c r="G690" s="9"/>
      <c r="H690" s="10"/>
      <c r="I690" s="21" t="b">
        <v>0</v>
      </c>
    </row>
    <row r="691" ht="22.5" customHeight="1">
      <c r="A691" s="10"/>
      <c r="B691" s="31"/>
      <c r="C691" s="41"/>
      <c r="D691" s="9"/>
      <c r="E691" s="10"/>
      <c r="F691" s="10"/>
      <c r="G691" s="9"/>
      <c r="H691" s="10"/>
      <c r="I691" s="21" t="b">
        <v>0</v>
      </c>
    </row>
    <row r="692" ht="22.5" customHeight="1">
      <c r="A692" s="10"/>
      <c r="B692" s="31"/>
      <c r="C692" s="41"/>
      <c r="D692" s="9"/>
      <c r="E692" s="10"/>
      <c r="F692" s="10"/>
      <c r="G692" s="9"/>
      <c r="H692" s="10"/>
      <c r="I692" s="21" t="b">
        <v>0</v>
      </c>
    </row>
    <row r="693" ht="22.5" customHeight="1">
      <c r="A693" s="10"/>
      <c r="B693" s="31"/>
      <c r="C693" s="41"/>
      <c r="D693" s="9"/>
      <c r="E693" s="10"/>
      <c r="F693" s="10"/>
      <c r="G693" s="9"/>
      <c r="H693" s="10"/>
      <c r="I693" s="21" t="b">
        <v>0</v>
      </c>
    </row>
    <row r="694" ht="22.5" customHeight="1">
      <c r="A694" s="10"/>
      <c r="B694" s="31"/>
      <c r="C694" s="41"/>
      <c r="D694" s="9"/>
      <c r="E694" s="10"/>
      <c r="F694" s="10"/>
      <c r="G694" s="9"/>
      <c r="H694" s="10"/>
      <c r="I694" s="21" t="b">
        <v>0</v>
      </c>
    </row>
    <row r="695" ht="22.5" customHeight="1">
      <c r="A695" s="10"/>
      <c r="B695" s="31"/>
      <c r="C695" s="41"/>
      <c r="D695" s="9"/>
      <c r="E695" s="10"/>
      <c r="F695" s="10"/>
      <c r="G695" s="9"/>
      <c r="H695" s="10"/>
      <c r="I695" s="21" t="b">
        <v>0</v>
      </c>
    </row>
    <row r="696" ht="22.5" customHeight="1">
      <c r="A696" s="10"/>
      <c r="B696" s="31"/>
      <c r="C696" s="41"/>
      <c r="D696" s="9"/>
      <c r="E696" s="10"/>
      <c r="F696" s="10"/>
      <c r="G696" s="9"/>
      <c r="H696" s="10"/>
      <c r="I696" s="21" t="b">
        <v>0</v>
      </c>
    </row>
    <row r="697" ht="22.5" customHeight="1">
      <c r="A697" s="10"/>
      <c r="B697" s="31"/>
      <c r="C697" s="41"/>
      <c r="D697" s="9"/>
      <c r="E697" s="10"/>
      <c r="F697" s="10"/>
      <c r="G697" s="9"/>
      <c r="H697" s="10"/>
      <c r="I697" s="21" t="b">
        <v>0</v>
      </c>
    </row>
    <row r="698" ht="22.5" customHeight="1">
      <c r="A698" s="10"/>
      <c r="B698" s="31"/>
      <c r="C698" s="41"/>
      <c r="D698" s="9"/>
      <c r="E698" s="10"/>
      <c r="F698" s="10"/>
      <c r="G698" s="9"/>
      <c r="H698" s="10"/>
      <c r="I698" s="21" t="b">
        <v>0</v>
      </c>
    </row>
    <row r="699" ht="22.5" customHeight="1">
      <c r="A699" s="10"/>
      <c r="B699" s="31"/>
      <c r="C699" s="41"/>
      <c r="D699" s="9"/>
      <c r="E699" s="10"/>
      <c r="F699" s="10"/>
      <c r="G699" s="9"/>
      <c r="H699" s="10"/>
      <c r="I699" s="21" t="b">
        <v>0</v>
      </c>
    </row>
    <row r="700" ht="22.5" customHeight="1">
      <c r="A700" s="10"/>
      <c r="B700" s="31"/>
      <c r="C700" s="41"/>
      <c r="D700" s="9"/>
      <c r="E700" s="10"/>
      <c r="F700" s="10"/>
      <c r="G700" s="9"/>
      <c r="H700" s="10"/>
      <c r="I700" s="21" t="b">
        <v>0</v>
      </c>
    </row>
    <row r="701" ht="22.5" customHeight="1">
      <c r="A701" s="10"/>
      <c r="B701" s="31"/>
      <c r="C701" s="41"/>
      <c r="D701" s="9"/>
      <c r="E701" s="10"/>
      <c r="F701" s="10"/>
      <c r="G701" s="9"/>
      <c r="H701" s="10"/>
      <c r="I701" s="21" t="b">
        <v>0</v>
      </c>
    </row>
    <row r="702" ht="22.5" customHeight="1">
      <c r="A702" s="10"/>
      <c r="B702" s="31"/>
      <c r="C702" s="41"/>
      <c r="D702" s="9"/>
      <c r="E702" s="10"/>
      <c r="F702" s="10"/>
      <c r="G702" s="9"/>
      <c r="H702" s="10"/>
      <c r="I702" s="21" t="b">
        <v>0</v>
      </c>
    </row>
    <row r="703" ht="22.5" customHeight="1">
      <c r="A703" s="10"/>
      <c r="B703" s="31"/>
      <c r="C703" s="41"/>
      <c r="D703" s="9"/>
      <c r="E703" s="10"/>
      <c r="F703" s="10"/>
      <c r="G703" s="9"/>
      <c r="H703" s="10"/>
      <c r="I703" s="21" t="b">
        <v>0</v>
      </c>
    </row>
    <row r="704" ht="22.5" customHeight="1">
      <c r="A704" s="10"/>
      <c r="B704" s="31"/>
      <c r="C704" s="41"/>
      <c r="D704" s="9"/>
      <c r="E704" s="10"/>
      <c r="F704" s="10"/>
      <c r="G704" s="9"/>
      <c r="H704" s="10"/>
      <c r="I704" s="21" t="b">
        <v>0</v>
      </c>
    </row>
    <row r="705" ht="22.5" customHeight="1">
      <c r="A705" s="10"/>
      <c r="B705" s="31"/>
      <c r="C705" s="41"/>
      <c r="D705" s="9"/>
      <c r="E705" s="10"/>
      <c r="F705" s="10"/>
      <c r="G705" s="9"/>
      <c r="H705" s="10"/>
      <c r="I705" s="21" t="b">
        <v>0</v>
      </c>
    </row>
    <row r="706" ht="22.5" customHeight="1">
      <c r="A706" s="10"/>
      <c r="B706" s="31"/>
      <c r="C706" s="41"/>
      <c r="D706" s="9"/>
      <c r="E706" s="10"/>
      <c r="F706" s="10"/>
      <c r="G706" s="9"/>
      <c r="H706" s="10"/>
      <c r="I706" s="21" t="b">
        <v>0</v>
      </c>
    </row>
    <row r="707" ht="22.5" customHeight="1">
      <c r="A707" s="10"/>
      <c r="B707" s="31"/>
      <c r="C707" s="41"/>
      <c r="D707" s="9"/>
      <c r="E707" s="10"/>
      <c r="F707" s="10"/>
      <c r="G707" s="9"/>
      <c r="H707" s="10"/>
      <c r="I707" s="21" t="b">
        <v>0</v>
      </c>
    </row>
    <row r="708" ht="22.5" customHeight="1">
      <c r="A708" s="10"/>
      <c r="B708" s="31"/>
      <c r="C708" s="41"/>
      <c r="D708" s="9"/>
      <c r="E708" s="10"/>
      <c r="F708" s="10"/>
      <c r="G708" s="9"/>
      <c r="H708" s="10"/>
      <c r="I708" s="21" t="b">
        <v>0</v>
      </c>
    </row>
    <row r="709" ht="22.5" customHeight="1">
      <c r="A709" s="10"/>
      <c r="B709" s="31"/>
      <c r="C709" s="41"/>
      <c r="D709" s="9"/>
      <c r="E709" s="10"/>
      <c r="F709" s="10"/>
      <c r="G709" s="9"/>
      <c r="H709" s="10"/>
      <c r="I709" s="21" t="b">
        <v>0</v>
      </c>
    </row>
    <row r="710" ht="22.5" customHeight="1">
      <c r="A710" s="10"/>
      <c r="B710" s="31"/>
      <c r="C710" s="41"/>
      <c r="D710" s="9"/>
      <c r="E710" s="10"/>
      <c r="F710" s="10"/>
      <c r="G710" s="9"/>
      <c r="H710" s="10"/>
      <c r="I710" s="21" t="b">
        <v>0</v>
      </c>
    </row>
    <row r="711" ht="22.5" customHeight="1">
      <c r="A711" s="10"/>
      <c r="B711" s="31"/>
      <c r="C711" s="41"/>
      <c r="D711" s="9"/>
      <c r="E711" s="10"/>
      <c r="F711" s="10"/>
      <c r="G711" s="9"/>
      <c r="H711" s="10"/>
      <c r="I711" s="21" t="b">
        <v>0</v>
      </c>
    </row>
    <row r="712" ht="22.5" customHeight="1">
      <c r="A712" s="10"/>
      <c r="B712" s="31"/>
      <c r="C712" s="41"/>
      <c r="D712" s="9"/>
      <c r="E712" s="10"/>
      <c r="F712" s="10"/>
      <c r="G712" s="9"/>
      <c r="H712" s="10"/>
      <c r="I712" s="21" t="b">
        <v>0</v>
      </c>
    </row>
    <row r="713" ht="22.5" customHeight="1">
      <c r="A713" s="10"/>
      <c r="B713" s="31"/>
      <c r="C713" s="41"/>
      <c r="D713" s="9"/>
      <c r="E713" s="10"/>
      <c r="F713" s="10"/>
      <c r="G713" s="9"/>
      <c r="H713" s="10"/>
      <c r="I713" s="21" t="b">
        <v>0</v>
      </c>
    </row>
    <row r="714" ht="22.5" customHeight="1">
      <c r="A714" s="10"/>
      <c r="B714" s="31"/>
      <c r="C714" s="41"/>
      <c r="D714" s="9"/>
      <c r="E714" s="10"/>
      <c r="F714" s="10"/>
      <c r="G714" s="9"/>
      <c r="H714" s="10"/>
      <c r="I714" s="21" t="b">
        <v>0</v>
      </c>
    </row>
    <row r="715" ht="22.5" customHeight="1">
      <c r="A715" s="10"/>
      <c r="B715" s="31"/>
      <c r="C715" s="41"/>
      <c r="D715" s="9"/>
      <c r="E715" s="10"/>
      <c r="F715" s="10"/>
      <c r="G715" s="9"/>
      <c r="H715" s="10"/>
      <c r="I715" s="21" t="b">
        <v>0</v>
      </c>
    </row>
    <row r="716" ht="22.5" customHeight="1">
      <c r="A716" s="10"/>
      <c r="B716" s="31"/>
      <c r="C716" s="41"/>
      <c r="D716" s="9"/>
      <c r="E716" s="10"/>
      <c r="F716" s="10"/>
      <c r="G716" s="9"/>
      <c r="H716" s="10"/>
      <c r="I716" s="21" t="b">
        <v>0</v>
      </c>
    </row>
    <row r="717" ht="22.5" customHeight="1">
      <c r="A717" s="10"/>
      <c r="B717" s="31"/>
      <c r="C717" s="41"/>
      <c r="D717" s="9"/>
      <c r="E717" s="10"/>
      <c r="F717" s="10"/>
      <c r="G717" s="9"/>
      <c r="H717" s="10"/>
      <c r="I717" s="21" t="b">
        <v>0</v>
      </c>
    </row>
    <row r="718" ht="22.5" customHeight="1">
      <c r="A718" s="10"/>
      <c r="B718" s="31"/>
      <c r="C718" s="41"/>
      <c r="D718" s="9"/>
      <c r="E718" s="10"/>
      <c r="F718" s="10"/>
      <c r="G718" s="9"/>
      <c r="H718" s="10"/>
      <c r="I718" s="21" t="b">
        <v>0</v>
      </c>
    </row>
    <row r="719" ht="22.5" customHeight="1">
      <c r="A719" s="10"/>
      <c r="B719" s="31"/>
      <c r="C719" s="41"/>
      <c r="D719" s="9"/>
      <c r="E719" s="10"/>
      <c r="F719" s="10"/>
      <c r="G719" s="9"/>
      <c r="H719" s="10"/>
      <c r="I719" s="21" t="b">
        <v>0</v>
      </c>
    </row>
    <row r="720" ht="22.5" customHeight="1">
      <c r="A720" s="10"/>
      <c r="B720" s="31"/>
      <c r="C720" s="41"/>
      <c r="D720" s="9"/>
      <c r="E720" s="10"/>
      <c r="F720" s="10"/>
      <c r="G720" s="9"/>
      <c r="H720" s="10"/>
      <c r="I720" s="21" t="b">
        <v>0</v>
      </c>
    </row>
    <row r="721" ht="22.5" customHeight="1">
      <c r="A721" s="10"/>
      <c r="B721" s="31"/>
      <c r="C721" s="41"/>
      <c r="D721" s="9"/>
      <c r="E721" s="10"/>
      <c r="F721" s="10"/>
      <c r="G721" s="9"/>
      <c r="H721" s="10"/>
      <c r="I721" s="21" t="b">
        <v>0</v>
      </c>
    </row>
    <row r="722" ht="22.5" customHeight="1">
      <c r="A722" s="10"/>
      <c r="B722" s="31"/>
      <c r="C722" s="41"/>
      <c r="D722" s="9"/>
      <c r="E722" s="10"/>
      <c r="F722" s="10"/>
      <c r="G722" s="9"/>
      <c r="H722" s="10"/>
      <c r="I722" s="21" t="b">
        <v>0</v>
      </c>
    </row>
    <row r="723" ht="22.5" customHeight="1">
      <c r="A723" s="10"/>
      <c r="B723" s="31"/>
      <c r="C723" s="41"/>
      <c r="D723" s="9"/>
      <c r="E723" s="10"/>
      <c r="F723" s="10"/>
      <c r="G723" s="9"/>
      <c r="H723" s="10"/>
      <c r="I723" s="21" t="b">
        <v>0</v>
      </c>
    </row>
    <row r="724" ht="22.5" customHeight="1">
      <c r="A724" s="10"/>
      <c r="B724" s="31"/>
      <c r="C724" s="41"/>
      <c r="D724" s="9"/>
      <c r="E724" s="10"/>
      <c r="F724" s="10"/>
      <c r="G724" s="9"/>
      <c r="H724" s="10"/>
      <c r="I724" s="21" t="b">
        <v>0</v>
      </c>
    </row>
    <row r="725" ht="22.5" customHeight="1">
      <c r="A725" s="10"/>
      <c r="B725" s="31"/>
      <c r="C725" s="41"/>
      <c r="D725" s="9"/>
      <c r="E725" s="10"/>
      <c r="F725" s="10"/>
      <c r="G725" s="9"/>
      <c r="H725" s="10"/>
      <c r="I725" s="21" t="b">
        <v>0</v>
      </c>
    </row>
    <row r="726" ht="22.5" customHeight="1">
      <c r="A726" s="10"/>
      <c r="B726" s="31"/>
      <c r="C726" s="41"/>
      <c r="D726" s="9"/>
      <c r="E726" s="10"/>
      <c r="F726" s="10"/>
      <c r="G726" s="9"/>
      <c r="H726" s="10"/>
      <c r="I726" s="21" t="b">
        <v>0</v>
      </c>
    </row>
    <row r="727" ht="22.5" customHeight="1">
      <c r="A727" s="10"/>
      <c r="B727" s="31"/>
      <c r="C727" s="41"/>
      <c r="D727" s="9"/>
      <c r="E727" s="10"/>
      <c r="F727" s="10"/>
      <c r="G727" s="9"/>
      <c r="H727" s="10"/>
      <c r="I727" s="21" t="b">
        <v>0</v>
      </c>
    </row>
    <row r="728" ht="22.5" customHeight="1">
      <c r="A728" s="10"/>
      <c r="B728" s="31"/>
      <c r="C728" s="41"/>
      <c r="D728" s="9"/>
      <c r="E728" s="10"/>
      <c r="F728" s="10"/>
      <c r="G728" s="9"/>
      <c r="H728" s="10"/>
      <c r="I728" s="21" t="b">
        <v>0</v>
      </c>
    </row>
    <row r="729" ht="22.5" customHeight="1">
      <c r="A729" s="10"/>
      <c r="B729" s="31"/>
      <c r="C729" s="41"/>
      <c r="D729" s="9"/>
      <c r="E729" s="10"/>
      <c r="F729" s="10"/>
      <c r="G729" s="9"/>
      <c r="H729" s="10"/>
      <c r="I729" s="21" t="b">
        <v>0</v>
      </c>
    </row>
    <row r="730" ht="22.5" customHeight="1">
      <c r="A730" s="10"/>
      <c r="B730" s="31"/>
      <c r="C730" s="41"/>
      <c r="D730" s="9"/>
      <c r="E730" s="10"/>
      <c r="F730" s="10"/>
      <c r="G730" s="9"/>
      <c r="H730" s="10"/>
      <c r="I730" s="21" t="b">
        <v>0</v>
      </c>
    </row>
    <row r="731" ht="22.5" customHeight="1">
      <c r="A731" s="10"/>
      <c r="B731" s="31"/>
      <c r="C731" s="41"/>
      <c r="D731" s="9"/>
      <c r="E731" s="10"/>
      <c r="F731" s="10"/>
      <c r="G731" s="9"/>
      <c r="H731" s="10"/>
      <c r="I731" s="21" t="b">
        <v>0</v>
      </c>
    </row>
    <row r="732" ht="22.5" customHeight="1">
      <c r="A732" s="10"/>
      <c r="B732" s="31"/>
      <c r="C732" s="41"/>
      <c r="D732" s="9"/>
      <c r="E732" s="10"/>
      <c r="F732" s="10"/>
      <c r="G732" s="9"/>
      <c r="H732" s="10"/>
      <c r="I732" s="21" t="b">
        <v>0</v>
      </c>
    </row>
    <row r="733" ht="22.5" customHeight="1">
      <c r="A733" s="10"/>
      <c r="B733" s="31"/>
      <c r="C733" s="41"/>
      <c r="D733" s="9"/>
      <c r="E733" s="10"/>
      <c r="F733" s="10"/>
      <c r="G733" s="9"/>
      <c r="H733" s="10"/>
      <c r="I733" s="21" t="b">
        <v>0</v>
      </c>
    </row>
    <row r="734" ht="22.5" customHeight="1">
      <c r="A734" s="10"/>
      <c r="B734" s="31"/>
      <c r="C734" s="41"/>
      <c r="D734" s="9"/>
      <c r="E734" s="10"/>
      <c r="F734" s="10"/>
      <c r="G734" s="9"/>
      <c r="H734" s="10"/>
      <c r="I734" s="21" t="b">
        <v>0</v>
      </c>
    </row>
    <row r="735" ht="22.5" customHeight="1">
      <c r="A735" s="10"/>
      <c r="B735" s="31"/>
      <c r="C735" s="41"/>
      <c r="D735" s="9"/>
      <c r="E735" s="10"/>
      <c r="F735" s="10"/>
      <c r="G735" s="9"/>
      <c r="H735" s="10"/>
      <c r="I735" s="21" t="b">
        <v>0</v>
      </c>
    </row>
    <row r="736" ht="22.5" customHeight="1">
      <c r="A736" s="10"/>
      <c r="B736" s="31"/>
      <c r="C736" s="41"/>
      <c r="D736" s="9"/>
      <c r="E736" s="10"/>
      <c r="F736" s="10"/>
      <c r="G736" s="9"/>
      <c r="H736" s="10"/>
      <c r="I736" s="21" t="b">
        <v>0</v>
      </c>
    </row>
    <row r="737" ht="22.5" customHeight="1">
      <c r="A737" s="10"/>
      <c r="B737" s="31"/>
      <c r="C737" s="41"/>
      <c r="D737" s="9"/>
      <c r="E737" s="10"/>
      <c r="F737" s="10"/>
      <c r="G737" s="9"/>
      <c r="H737" s="10"/>
      <c r="I737" s="21" t="b">
        <v>0</v>
      </c>
    </row>
    <row r="738" ht="22.5" customHeight="1">
      <c r="A738" s="10"/>
      <c r="B738" s="31"/>
      <c r="C738" s="41"/>
      <c r="D738" s="9"/>
      <c r="E738" s="10"/>
      <c r="F738" s="10"/>
      <c r="G738" s="9"/>
      <c r="H738" s="10"/>
      <c r="I738" s="21" t="b">
        <v>0</v>
      </c>
    </row>
    <row r="739" ht="22.5" customHeight="1">
      <c r="A739" s="10"/>
      <c r="B739" s="31"/>
      <c r="C739" s="41"/>
      <c r="D739" s="9"/>
      <c r="E739" s="10"/>
      <c r="F739" s="10"/>
      <c r="G739" s="9"/>
      <c r="H739" s="10"/>
      <c r="I739" s="21" t="b">
        <v>0</v>
      </c>
    </row>
    <row r="740" ht="22.5" customHeight="1">
      <c r="A740" s="10"/>
      <c r="B740" s="31"/>
      <c r="C740" s="41"/>
      <c r="D740" s="9"/>
      <c r="E740" s="10"/>
      <c r="F740" s="10"/>
      <c r="G740" s="9"/>
      <c r="H740" s="10"/>
      <c r="I740" s="21" t="b">
        <v>0</v>
      </c>
    </row>
    <row r="741" ht="22.5" customHeight="1">
      <c r="A741" s="10"/>
      <c r="B741" s="31"/>
      <c r="C741" s="41"/>
      <c r="D741" s="9"/>
      <c r="E741" s="10"/>
      <c r="F741" s="10"/>
      <c r="G741" s="9"/>
      <c r="H741" s="10"/>
      <c r="I741" s="21" t="b">
        <v>0</v>
      </c>
    </row>
    <row r="742" ht="22.5" customHeight="1">
      <c r="A742" s="10"/>
      <c r="B742" s="31"/>
      <c r="C742" s="41"/>
      <c r="D742" s="9"/>
      <c r="E742" s="10"/>
      <c r="F742" s="10"/>
      <c r="G742" s="9"/>
      <c r="H742" s="10"/>
      <c r="I742" s="21" t="b">
        <v>0</v>
      </c>
    </row>
    <row r="743" ht="22.5" customHeight="1">
      <c r="A743" s="10"/>
      <c r="B743" s="31"/>
      <c r="C743" s="41"/>
      <c r="D743" s="9"/>
      <c r="E743" s="10"/>
      <c r="F743" s="10"/>
      <c r="G743" s="9"/>
      <c r="H743" s="10"/>
      <c r="I743" s="21" t="b">
        <v>0</v>
      </c>
    </row>
    <row r="744" ht="22.5" customHeight="1">
      <c r="A744" s="10"/>
      <c r="B744" s="31"/>
      <c r="C744" s="41"/>
      <c r="D744" s="9"/>
      <c r="E744" s="10"/>
      <c r="F744" s="10"/>
      <c r="G744" s="9"/>
      <c r="H744" s="10"/>
      <c r="I744" s="21" t="b">
        <v>0</v>
      </c>
    </row>
    <row r="745" ht="22.5" customHeight="1">
      <c r="A745" s="10"/>
      <c r="B745" s="31"/>
      <c r="C745" s="41"/>
      <c r="D745" s="9"/>
      <c r="E745" s="10"/>
      <c r="F745" s="10"/>
      <c r="G745" s="9"/>
      <c r="H745" s="10"/>
      <c r="I745" s="21" t="b">
        <v>0</v>
      </c>
    </row>
    <row r="746" ht="22.5" customHeight="1">
      <c r="A746" s="10"/>
      <c r="B746" s="31"/>
      <c r="C746" s="41"/>
      <c r="D746" s="9"/>
      <c r="E746" s="10"/>
      <c r="F746" s="10"/>
      <c r="G746" s="9"/>
      <c r="H746" s="10"/>
      <c r="I746" s="21" t="b">
        <v>0</v>
      </c>
    </row>
    <row r="747" ht="22.5" customHeight="1">
      <c r="A747" s="10"/>
      <c r="B747" s="31"/>
      <c r="C747" s="41"/>
      <c r="D747" s="9"/>
      <c r="E747" s="10"/>
      <c r="F747" s="10"/>
      <c r="G747" s="9"/>
      <c r="H747" s="10"/>
      <c r="I747" s="21" t="b">
        <v>0</v>
      </c>
    </row>
    <row r="748" ht="22.5" customHeight="1">
      <c r="A748" s="10"/>
      <c r="B748" s="31"/>
      <c r="C748" s="41"/>
      <c r="D748" s="9"/>
      <c r="E748" s="10"/>
      <c r="F748" s="10"/>
      <c r="G748" s="9"/>
      <c r="H748" s="10"/>
      <c r="I748" s="21" t="b">
        <v>0</v>
      </c>
    </row>
    <row r="749" ht="22.5" customHeight="1">
      <c r="A749" s="10"/>
      <c r="B749" s="31"/>
      <c r="C749" s="41"/>
      <c r="D749" s="9"/>
      <c r="E749" s="10"/>
      <c r="F749" s="10"/>
      <c r="G749" s="9"/>
      <c r="H749" s="10"/>
      <c r="I749" s="21" t="b">
        <v>0</v>
      </c>
    </row>
    <row r="750" ht="22.5" customHeight="1">
      <c r="A750" s="10"/>
      <c r="B750" s="31"/>
      <c r="C750" s="41"/>
      <c r="D750" s="9"/>
      <c r="E750" s="10"/>
      <c r="F750" s="10"/>
      <c r="G750" s="9"/>
      <c r="H750" s="10"/>
      <c r="I750" s="21" t="b">
        <v>0</v>
      </c>
    </row>
    <row r="751" ht="22.5" customHeight="1">
      <c r="A751" s="10"/>
      <c r="B751" s="31"/>
      <c r="C751" s="41"/>
      <c r="D751" s="9"/>
      <c r="E751" s="10"/>
      <c r="F751" s="10"/>
      <c r="G751" s="9"/>
      <c r="H751" s="10"/>
      <c r="I751" s="21" t="b">
        <v>0</v>
      </c>
    </row>
    <row r="752" ht="22.5" customHeight="1">
      <c r="A752" s="10"/>
      <c r="B752" s="31"/>
      <c r="C752" s="41"/>
      <c r="D752" s="9"/>
      <c r="E752" s="10"/>
      <c r="F752" s="10"/>
      <c r="G752" s="9"/>
      <c r="H752" s="10"/>
      <c r="I752" s="21" t="b">
        <v>0</v>
      </c>
    </row>
    <row r="753" ht="22.5" customHeight="1">
      <c r="A753" s="10"/>
      <c r="B753" s="31"/>
      <c r="C753" s="41"/>
      <c r="D753" s="9"/>
      <c r="E753" s="10"/>
      <c r="F753" s="10"/>
      <c r="G753" s="9"/>
      <c r="H753" s="10"/>
      <c r="I753" s="21" t="b">
        <v>0</v>
      </c>
    </row>
    <row r="754" ht="22.5" customHeight="1">
      <c r="A754" s="10"/>
      <c r="B754" s="31"/>
      <c r="C754" s="41"/>
      <c r="D754" s="9"/>
      <c r="E754" s="10"/>
      <c r="F754" s="10"/>
      <c r="G754" s="9"/>
      <c r="H754" s="10"/>
      <c r="I754" s="21" t="b">
        <v>0</v>
      </c>
    </row>
    <row r="755" ht="22.5" customHeight="1">
      <c r="A755" s="10"/>
      <c r="B755" s="31"/>
      <c r="C755" s="41"/>
      <c r="D755" s="9"/>
      <c r="E755" s="10"/>
      <c r="F755" s="10"/>
      <c r="G755" s="9"/>
      <c r="H755" s="10"/>
      <c r="I755" s="21" t="b">
        <v>0</v>
      </c>
    </row>
    <row r="756" ht="22.5" customHeight="1">
      <c r="A756" s="10"/>
      <c r="B756" s="31"/>
      <c r="C756" s="41"/>
      <c r="D756" s="9"/>
      <c r="E756" s="10"/>
      <c r="F756" s="10"/>
      <c r="G756" s="9"/>
      <c r="H756" s="10"/>
      <c r="I756" s="21" t="b">
        <v>0</v>
      </c>
    </row>
    <row r="757" ht="22.5" customHeight="1">
      <c r="A757" s="10"/>
      <c r="B757" s="31"/>
      <c r="C757" s="41"/>
      <c r="D757" s="9"/>
      <c r="E757" s="10"/>
      <c r="F757" s="10"/>
      <c r="G757" s="9"/>
      <c r="H757" s="10"/>
      <c r="I757" s="21" t="b">
        <v>0</v>
      </c>
    </row>
    <row r="758" ht="22.5" customHeight="1">
      <c r="A758" s="10"/>
      <c r="B758" s="31"/>
      <c r="C758" s="41"/>
      <c r="D758" s="9"/>
      <c r="E758" s="10"/>
      <c r="F758" s="10"/>
      <c r="G758" s="9"/>
      <c r="H758" s="10"/>
      <c r="I758" s="21" t="b">
        <v>0</v>
      </c>
    </row>
    <row r="759" ht="22.5" customHeight="1">
      <c r="A759" s="10"/>
      <c r="B759" s="31"/>
      <c r="C759" s="41"/>
      <c r="D759" s="9"/>
      <c r="E759" s="10"/>
      <c r="F759" s="10"/>
      <c r="G759" s="9"/>
      <c r="H759" s="10"/>
      <c r="I759" s="21" t="b">
        <v>0</v>
      </c>
    </row>
    <row r="760" ht="22.5" customHeight="1">
      <c r="A760" s="10"/>
      <c r="B760" s="31"/>
      <c r="C760" s="41"/>
      <c r="D760" s="9"/>
      <c r="E760" s="10"/>
      <c r="F760" s="10"/>
      <c r="G760" s="9"/>
      <c r="H760" s="10"/>
      <c r="I760" s="21" t="b">
        <v>0</v>
      </c>
    </row>
    <row r="761" ht="22.5" customHeight="1">
      <c r="A761" s="10"/>
      <c r="B761" s="31"/>
      <c r="C761" s="41"/>
      <c r="D761" s="9"/>
      <c r="E761" s="10"/>
      <c r="F761" s="10"/>
      <c r="G761" s="9"/>
      <c r="H761" s="10"/>
      <c r="I761" s="21" t="b">
        <v>0</v>
      </c>
    </row>
    <row r="762" ht="22.5" customHeight="1">
      <c r="A762" s="10"/>
      <c r="B762" s="31"/>
      <c r="C762" s="41"/>
      <c r="D762" s="9"/>
      <c r="E762" s="10"/>
      <c r="F762" s="10"/>
      <c r="G762" s="9"/>
      <c r="H762" s="10"/>
      <c r="I762" s="21" t="b">
        <v>0</v>
      </c>
    </row>
    <row r="763" ht="22.5" customHeight="1">
      <c r="A763" s="10"/>
      <c r="B763" s="31"/>
      <c r="C763" s="41"/>
      <c r="D763" s="9"/>
      <c r="E763" s="10"/>
      <c r="F763" s="10"/>
      <c r="G763" s="9"/>
      <c r="H763" s="10"/>
      <c r="I763" s="21" t="b">
        <v>0</v>
      </c>
    </row>
    <row r="764" ht="22.5" customHeight="1">
      <c r="A764" s="10"/>
      <c r="B764" s="31"/>
      <c r="C764" s="41"/>
      <c r="D764" s="9"/>
      <c r="E764" s="10"/>
      <c r="F764" s="10"/>
      <c r="G764" s="9"/>
      <c r="H764" s="10"/>
      <c r="I764" s="21" t="b">
        <v>0</v>
      </c>
    </row>
    <row r="765" ht="22.5" customHeight="1">
      <c r="A765" s="10"/>
      <c r="B765" s="31"/>
      <c r="C765" s="41"/>
      <c r="D765" s="9"/>
      <c r="E765" s="10"/>
      <c r="F765" s="10"/>
      <c r="G765" s="9"/>
      <c r="H765" s="10"/>
      <c r="I765" s="21" t="b">
        <v>0</v>
      </c>
    </row>
    <row r="766" ht="22.5" customHeight="1">
      <c r="A766" s="10"/>
      <c r="B766" s="31"/>
      <c r="C766" s="41"/>
      <c r="D766" s="9"/>
      <c r="E766" s="10"/>
      <c r="F766" s="10"/>
      <c r="G766" s="9"/>
      <c r="H766" s="10"/>
      <c r="I766" s="21" t="b">
        <v>0</v>
      </c>
    </row>
    <row r="767" ht="22.5" customHeight="1">
      <c r="A767" s="10"/>
      <c r="B767" s="31"/>
      <c r="C767" s="41"/>
      <c r="D767" s="9"/>
      <c r="E767" s="10"/>
      <c r="F767" s="10"/>
      <c r="G767" s="9"/>
      <c r="H767" s="10"/>
      <c r="I767" s="21" t="b">
        <v>0</v>
      </c>
    </row>
    <row r="768" ht="22.5" customHeight="1">
      <c r="A768" s="10"/>
      <c r="B768" s="31"/>
      <c r="C768" s="41"/>
      <c r="D768" s="9"/>
      <c r="E768" s="10"/>
      <c r="F768" s="10"/>
      <c r="G768" s="9"/>
      <c r="H768" s="10"/>
      <c r="I768" s="21" t="b">
        <v>0</v>
      </c>
    </row>
    <row r="769" ht="22.5" customHeight="1">
      <c r="A769" s="10"/>
      <c r="B769" s="31"/>
      <c r="C769" s="41"/>
      <c r="D769" s="9"/>
      <c r="E769" s="10"/>
      <c r="F769" s="10"/>
      <c r="G769" s="9"/>
      <c r="H769" s="10"/>
      <c r="I769" s="21" t="b">
        <v>0</v>
      </c>
    </row>
    <row r="770" ht="22.5" customHeight="1">
      <c r="A770" s="10"/>
      <c r="B770" s="31"/>
      <c r="C770" s="41"/>
      <c r="D770" s="9"/>
      <c r="E770" s="10"/>
      <c r="F770" s="10"/>
      <c r="G770" s="9"/>
      <c r="H770" s="10"/>
      <c r="I770" s="21" t="b">
        <v>0</v>
      </c>
    </row>
    <row r="771" ht="22.5" customHeight="1">
      <c r="A771" s="10"/>
      <c r="B771" s="31"/>
      <c r="C771" s="41"/>
      <c r="D771" s="9"/>
      <c r="E771" s="10"/>
      <c r="F771" s="10"/>
      <c r="G771" s="9"/>
      <c r="H771" s="10"/>
      <c r="I771" s="21" t="b">
        <v>0</v>
      </c>
    </row>
    <row r="772" ht="22.5" customHeight="1">
      <c r="A772" s="10"/>
      <c r="B772" s="31"/>
      <c r="C772" s="41"/>
      <c r="D772" s="9"/>
      <c r="E772" s="10"/>
      <c r="F772" s="10"/>
      <c r="G772" s="9"/>
      <c r="H772" s="10"/>
      <c r="I772" s="21" t="b">
        <v>0</v>
      </c>
    </row>
    <row r="773" ht="22.5" customHeight="1">
      <c r="A773" s="10"/>
      <c r="B773" s="31"/>
      <c r="C773" s="41"/>
      <c r="D773" s="9"/>
      <c r="E773" s="10"/>
      <c r="F773" s="10"/>
      <c r="G773" s="9"/>
      <c r="H773" s="10"/>
      <c r="I773" s="21" t="b">
        <v>0</v>
      </c>
    </row>
    <row r="774" ht="22.5" customHeight="1">
      <c r="A774" s="10"/>
      <c r="B774" s="31"/>
      <c r="C774" s="41"/>
      <c r="D774" s="9"/>
      <c r="E774" s="10"/>
      <c r="F774" s="10"/>
      <c r="G774" s="9"/>
      <c r="H774" s="10"/>
      <c r="I774" s="21" t="b">
        <v>0</v>
      </c>
    </row>
    <row r="775" ht="22.5" customHeight="1">
      <c r="A775" s="10"/>
      <c r="B775" s="31"/>
      <c r="C775" s="41"/>
      <c r="D775" s="9"/>
      <c r="E775" s="10"/>
      <c r="F775" s="10"/>
      <c r="G775" s="9"/>
      <c r="H775" s="10"/>
      <c r="I775" s="21" t="b">
        <v>0</v>
      </c>
    </row>
    <row r="776" ht="22.5" customHeight="1">
      <c r="A776" s="10"/>
      <c r="B776" s="31"/>
      <c r="C776" s="41"/>
      <c r="D776" s="9"/>
      <c r="E776" s="10"/>
      <c r="F776" s="10"/>
      <c r="G776" s="9"/>
      <c r="H776" s="10"/>
      <c r="I776" s="21" t="b">
        <v>0</v>
      </c>
    </row>
    <row r="777" ht="22.5" customHeight="1">
      <c r="A777" s="10"/>
      <c r="B777" s="31"/>
      <c r="C777" s="41"/>
      <c r="D777" s="9"/>
      <c r="E777" s="10"/>
      <c r="F777" s="10"/>
      <c r="G777" s="9"/>
      <c r="H777" s="10"/>
      <c r="I777" s="21" t="b">
        <v>0</v>
      </c>
    </row>
    <row r="778" ht="22.5" customHeight="1">
      <c r="A778" s="10"/>
      <c r="B778" s="31"/>
      <c r="C778" s="41"/>
      <c r="D778" s="9"/>
      <c r="E778" s="10"/>
      <c r="F778" s="10"/>
      <c r="G778" s="9"/>
      <c r="H778" s="10"/>
      <c r="I778" s="21" t="b">
        <v>0</v>
      </c>
    </row>
    <row r="779" ht="22.5" customHeight="1">
      <c r="A779" s="10"/>
      <c r="B779" s="31"/>
      <c r="C779" s="41"/>
      <c r="D779" s="9"/>
      <c r="E779" s="10"/>
      <c r="F779" s="10"/>
      <c r="G779" s="9"/>
      <c r="H779" s="10"/>
      <c r="I779" s="21" t="b">
        <v>0</v>
      </c>
    </row>
    <row r="780" ht="22.5" customHeight="1">
      <c r="A780" s="10"/>
      <c r="B780" s="31"/>
      <c r="C780" s="41"/>
      <c r="D780" s="9"/>
      <c r="E780" s="10"/>
      <c r="F780" s="10"/>
      <c r="G780" s="9"/>
      <c r="H780" s="10"/>
      <c r="I780" s="21" t="b">
        <v>0</v>
      </c>
    </row>
    <row r="781" ht="22.5" customHeight="1">
      <c r="A781" s="10"/>
      <c r="B781" s="31"/>
      <c r="C781" s="41"/>
      <c r="D781" s="9"/>
      <c r="E781" s="10"/>
      <c r="F781" s="10"/>
      <c r="G781" s="9"/>
      <c r="H781" s="10"/>
      <c r="I781" s="21" t="b">
        <v>0</v>
      </c>
    </row>
    <row r="782" ht="22.5" customHeight="1">
      <c r="A782" s="10"/>
      <c r="B782" s="31"/>
      <c r="C782" s="41"/>
      <c r="D782" s="9"/>
      <c r="E782" s="10"/>
      <c r="F782" s="10"/>
      <c r="G782" s="9"/>
      <c r="H782" s="10"/>
      <c r="I782" s="21" t="b">
        <v>0</v>
      </c>
    </row>
    <row r="783" ht="22.5" customHeight="1">
      <c r="A783" s="10"/>
      <c r="B783" s="31"/>
      <c r="C783" s="41"/>
      <c r="D783" s="9"/>
      <c r="E783" s="10"/>
      <c r="F783" s="10"/>
      <c r="G783" s="9"/>
      <c r="H783" s="10"/>
      <c r="I783" s="21" t="b">
        <v>0</v>
      </c>
    </row>
    <row r="784" ht="22.5" customHeight="1">
      <c r="A784" s="10"/>
      <c r="B784" s="31"/>
      <c r="C784" s="41"/>
      <c r="D784" s="9"/>
      <c r="E784" s="10"/>
      <c r="F784" s="10"/>
      <c r="G784" s="9"/>
      <c r="H784" s="10"/>
      <c r="I784" s="21" t="b">
        <v>0</v>
      </c>
    </row>
    <row r="785" ht="22.5" customHeight="1">
      <c r="A785" s="10"/>
      <c r="B785" s="31"/>
      <c r="C785" s="41"/>
      <c r="D785" s="9"/>
      <c r="E785" s="10"/>
      <c r="F785" s="10"/>
      <c r="G785" s="9"/>
      <c r="H785" s="10"/>
      <c r="I785" s="21" t="b">
        <v>0</v>
      </c>
    </row>
    <row r="786" ht="22.5" customHeight="1">
      <c r="A786" s="10"/>
      <c r="B786" s="31"/>
      <c r="C786" s="41"/>
      <c r="D786" s="9"/>
      <c r="E786" s="10"/>
      <c r="F786" s="10"/>
      <c r="G786" s="9"/>
      <c r="H786" s="10"/>
      <c r="I786" s="21" t="b">
        <v>0</v>
      </c>
    </row>
    <row r="787" ht="22.5" customHeight="1">
      <c r="A787" s="10"/>
      <c r="B787" s="31"/>
      <c r="C787" s="41"/>
      <c r="D787" s="9"/>
      <c r="E787" s="10"/>
      <c r="F787" s="10"/>
      <c r="G787" s="9"/>
      <c r="H787" s="10"/>
      <c r="I787" s="21" t="b">
        <v>0</v>
      </c>
    </row>
    <row r="788" ht="22.5" customHeight="1">
      <c r="A788" s="10"/>
      <c r="B788" s="31"/>
      <c r="C788" s="41"/>
      <c r="D788" s="9"/>
      <c r="E788" s="10"/>
      <c r="F788" s="10"/>
      <c r="G788" s="9"/>
      <c r="H788" s="10"/>
      <c r="I788" s="21" t="b">
        <v>0</v>
      </c>
    </row>
    <row r="789" ht="22.5" customHeight="1">
      <c r="A789" s="10"/>
      <c r="B789" s="31"/>
      <c r="C789" s="41"/>
      <c r="D789" s="9"/>
      <c r="E789" s="10"/>
      <c r="F789" s="10"/>
      <c r="G789" s="9"/>
      <c r="H789" s="10"/>
      <c r="I789" s="21" t="b">
        <v>0</v>
      </c>
    </row>
    <row r="790" ht="22.5" customHeight="1">
      <c r="A790" s="10"/>
      <c r="B790" s="31"/>
      <c r="C790" s="41"/>
      <c r="D790" s="9"/>
      <c r="E790" s="10"/>
      <c r="F790" s="10"/>
      <c r="G790" s="9"/>
      <c r="H790" s="10"/>
      <c r="I790" s="21" t="b">
        <v>0</v>
      </c>
    </row>
    <row r="791" ht="22.5" customHeight="1">
      <c r="A791" s="10"/>
      <c r="B791" s="31"/>
      <c r="C791" s="41"/>
      <c r="D791" s="9"/>
      <c r="E791" s="10"/>
      <c r="F791" s="10"/>
      <c r="G791" s="9"/>
      <c r="H791" s="10"/>
      <c r="I791" s="21" t="b">
        <v>0</v>
      </c>
    </row>
    <row r="792" ht="22.5" customHeight="1">
      <c r="A792" s="10"/>
      <c r="B792" s="31"/>
      <c r="C792" s="41"/>
      <c r="D792" s="9"/>
      <c r="E792" s="10"/>
      <c r="F792" s="10"/>
      <c r="G792" s="9"/>
      <c r="H792" s="10"/>
      <c r="I792" s="21" t="b">
        <v>0</v>
      </c>
    </row>
    <row r="793" ht="22.5" customHeight="1">
      <c r="A793" s="10"/>
      <c r="B793" s="31"/>
      <c r="C793" s="41"/>
      <c r="D793" s="9"/>
      <c r="E793" s="10"/>
      <c r="F793" s="10"/>
      <c r="G793" s="9"/>
      <c r="H793" s="10"/>
      <c r="I793" s="21" t="b">
        <v>0</v>
      </c>
    </row>
    <row r="794" ht="22.5" customHeight="1">
      <c r="A794" s="10"/>
      <c r="B794" s="31"/>
      <c r="C794" s="41"/>
      <c r="D794" s="9"/>
      <c r="E794" s="10"/>
      <c r="F794" s="10"/>
      <c r="G794" s="9"/>
      <c r="H794" s="10"/>
      <c r="I794" s="21" t="b">
        <v>0</v>
      </c>
    </row>
    <row r="795" ht="22.5" customHeight="1">
      <c r="A795" s="10"/>
      <c r="B795" s="31"/>
      <c r="C795" s="41"/>
      <c r="D795" s="9"/>
      <c r="E795" s="10"/>
      <c r="F795" s="10"/>
      <c r="G795" s="9"/>
      <c r="H795" s="10"/>
      <c r="I795" s="21" t="b">
        <v>0</v>
      </c>
    </row>
    <row r="796" ht="22.5" customHeight="1">
      <c r="A796" s="10"/>
      <c r="B796" s="31"/>
      <c r="C796" s="41"/>
      <c r="D796" s="9"/>
      <c r="E796" s="10"/>
      <c r="F796" s="10"/>
      <c r="G796" s="9"/>
      <c r="H796" s="10"/>
      <c r="I796" s="21" t="b">
        <v>0</v>
      </c>
    </row>
    <row r="797" ht="22.5" customHeight="1">
      <c r="A797" s="10"/>
      <c r="B797" s="31"/>
      <c r="C797" s="41"/>
      <c r="D797" s="9"/>
      <c r="E797" s="10"/>
      <c r="F797" s="10"/>
      <c r="G797" s="9"/>
      <c r="H797" s="10"/>
      <c r="I797" s="21" t="b">
        <v>0</v>
      </c>
    </row>
    <row r="798" ht="22.5" customHeight="1">
      <c r="A798" s="10"/>
      <c r="B798" s="31"/>
      <c r="C798" s="41"/>
      <c r="D798" s="9"/>
      <c r="E798" s="10"/>
      <c r="F798" s="10"/>
      <c r="G798" s="9"/>
      <c r="H798" s="10"/>
      <c r="I798" s="21" t="b">
        <v>0</v>
      </c>
    </row>
    <row r="799" ht="22.5" customHeight="1">
      <c r="A799" s="10"/>
      <c r="B799" s="31"/>
      <c r="C799" s="41"/>
      <c r="D799" s="9"/>
      <c r="E799" s="10"/>
      <c r="F799" s="10"/>
      <c r="G799" s="9"/>
      <c r="H799" s="10"/>
      <c r="I799" s="21" t="b">
        <v>0</v>
      </c>
    </row>
    <row r="800" ht="22.5" customHeight="1">
      <c r="A800" s="10"/>
      <c r="B800" s="31"/>
      <c r="C800" s="41"/>
      <c r="D800" s="9"/>
      <c r="E800" s="10"/>
      <c r="F800" s="10"/>
      <c r="G800" s="9"/>
      <c r="H800" s="10"/>
      <c r="I800" s="21" t="b">
        <v>0</v>
      </c>
    </row>
    <row r="801" ht="22.5" customHeight="1">
      <c r="A801" s="10"/>
      <c r="B801" s="31"/>
      <c r="C801" s="41"/>
      <c r="D801" s="9"/>
      <c r="E801" s="10"/>
      <c r="F801" s="10"/>
      <c r="G801" s="9"/>
      <c r="H801" s="10"/>
      <c r="I801" s="21" t="b">
        <v>0</v>
      </c>
    </row>
    <row r="802" ht="22.5" customHeight="1">
      <c r="A802" s="10"/>
      <c r="B802" s="31"/>
      <c r="C802" s="41"/>
      <c r="D802" s="9"/>
      <c r="E802" s="10"/>
      <c r="F802" s="10"/>
      <c r="G802" s="9"/>
      <c r="H802" s="10"/>
      <c r="I802" s="21" t="b">
        <v>0</v>
      </c>
    </row>
    <row r="803" ht="22.5" customHeight="1">
      <c r="A803" s="10"/>
      <c r="B803" s="31"/>
      <c r="C803" s="41"/>
      <c r="D803" s="9"/>
      <c r="E803" s="10"/>
      <c r="F803" s="10"/>
      <c r="G803" s="9"/>
      <c r="H803" s="10"/>
      <c r="I803" s="21" t="b">
        <v>0</v>
      </c>
    </row>
    <row r="804" ht="22.5" customHeight="1">
      <c r="A804" s="10"/>
      <c r="B804" s="31"/>
      <c r="C804" s="41"/>
      <c r="D804" s="9"/>
      <c r="E804" s="10"/>
      <c r="F804" s="10"/>
      <c r="G804" s="9"/>
      <c r="H804" s="10"/>
      <c r="I804" s="21" t="b">
        <v>0</v>
      </c>
    </row>
    <row r="805" ht="22.5" customHeight="1">
      <c r="A805" s="10"/>
      <c r="B805" s="31"/>
      <c r="C805" s="41"/>
      <c r="D805" s="9"/>
      <c r="E805" s="10"/>
      <c r="F805" s="10"/>
      <c r="G805" s="9"/>
      <c r="H805" s="10"/>
      <c r="I805" s="21" t="b">
        <v>0</v>
      </c>
    </row>
    <row r="806" ht="22.5" customHeight="1">
      <c r="A806" s="10"/>
      <c r="B806" s="31"/>
      <c r="C806" s="41"/>
      <c r="D806" s="9"/>
      <c r="E806" s="10"/>
      <c r="F806" s="10"/>
      <c r="G806" s="9"/>
      <c r="H806" s="10"/>
      <c r="I806" s="21" t="b">
        <v>0</v>
      </c>
    </row>
    <row r="807" ht="22.5" customHeight="1">
      <c r="A807" s="10"/>
      <c r="B807" s="31"/>
      <c r="C807" s="41"/>
      <c r="D807" s="9"/>
      <c r="E807" s="10"/>
      <c r="F807" s="10"/>
      <c r="G807" s="9"/>
      <c r="H807" s="10"/>
      <c r="I807" s="21" t="b">
        <v>0</v>
      </c>
    </row>
    <row r="808" ht="22.5" customHeight="1">
      <c r="A808" s="10"/>
      <c r="B808" s="31"/>
      <c r="C808" s="41"/>
      <c r="D808" s="9"/>
      <c r="E808" s="10"/>
      <c r="F808" s="10"/>
      <c r="G808" s="9"/>
      <c r="H808" s="10"/>
      <c r="I808" s="21" t="b">
        <v>0</v>
      </c>
    </row>
    <row r="809" ht="22.5" customHeight="1">
      <c r="A809" s="10"/>
      <c r="B809" s="31"/>
      <c r="C809" s="41"/>
      <c r="D809" s="9"/>
      <c r="E809" s="10"/>
      <c r="F809" s="10"/>
      <c r="G809" s="9"/>
      <c r="H809" s="10"/>
      <c r="I809" s="21" t="b">
        <v>0</v>
      </c>
    </row>
    <row r="810" ht="22.5" customHeight="1">
      <c r="A810" s="10"/>
      <c r="B810" s="31"/>
      <c r="C810" s="41"/>
      <c r="D810" s="9"/>
      <c r="E810" s="10"/>
      <c r="F810" s="10"/>
      <c r="G810" s="9"/>
      <c r="H810" s="10"/>
      <c r="I810" s="21" t="b">
        <v>0</v>
      </c>
    </row>
    <row r="811" ht="22.5" customHeight="1">
      <c r="A811" s="10"/>
      <c r="B811" s="31"/>
      <c r="C811" s="41"/>
      <c r="D811" s="9"/>
      <c r="E811" s="10"/>
      <c r="F811" s="10"/>
      <c r="G811" s="9"/>
      <c r="H811" s="10"/>
      <c r="I811" s="21" t="b">
        <v>0</v>
      </c>
    </row>
    <row r="812" ht="22.5" customHeight="1">
      <c r="A812" s="10"/>
      <c r="B812" s="31"/>
      <c r="C812" s="41"/>
      <c r="D812" s="9"/>
      <c r="E812" s="10"/>
      <c r="F812" s="10"/>
      <c r="G812" s="9"/>
      <c r="H812" s="10"/>
      <c r="I812" s="21" t="b">
        <v>0</v>
      </c>
    </row>
    <row r="813" ht="22.5" customHeight="1">
      <c r="A813" s="10"/>
      <c r="B813" s="31"/>
      <c r="C813" s="41"/>
      <c r="D813" s="9"/>
      <c r="E813" s="10"/>
      <c r="F813" s="10"/>
      <c r="G813" s="9"/>
      <c r="H813" s="10"/>
      <c r="I813" s="21" t="b">
        <v>0</v>
      </c>
    </row>
    <row r="814" ht="22.5" customHeight="1">
      <c r="A814" s="10"/>
      <c r="B814" s="31"/>
      <c r="C814" s="41"/>
      <c r="D814" s="9"/>
      <c r="E814" s="10"/>
      <c r="F814" s="10"/>
      <c r="G814" s="9"/>
      <c r="H814" s="10"/>
      <c r="I814" s="21" t="b">
        <v>0</v>
      </c>
    </row>
    <row r="815" ht="22.5" customHeight="1">
      <c r="A815" s="10"/>
      <c r="B815" s="31"/>
      <c r="C815" s="41"/>
      <c r="D815" s="9"/>
      <c r="E815" s="10"/>
      <c r="F815" s="10"/>
      <c r="G815" s="9"/>
      <c r="H815" s="10"/>
      <c r="I815" s="21" t="b">
        <v>0</v>
      </c>
    </row>
    <row r="816" ht="22.5" customHeight="1">
      <c r="A816" s="10"/>
      <c r="B816" s="31"/>
      <c r="C816" s="41"/>
      <c r="D816" s="9"/>
      <c r="E816" s="10"/>
      <c r="F816" s="10"/>
      <c r="G816" s="9"/>
      <c r="H816" s="10"/>
      <c r="I816" s="21" t="b">
        <v>0</v>
      </c>
    </row>
    <row r="817" ht="22.5" customHeight="1">
      <c r="A817" s="10"/>
      <c r="B817" s="31"/>
      <c r="C817" s="41"/>
      <c r="D817" s="9"/>
      <c r="E817" s="10"/>
      <c r="F817" s="10"/>
      <c r="G817" s="9"/>
      <c r="H817" s="10"/>
      <c r="I817" s="21" t="b">
        <v>0</v>
      </c>
    </row>
    <row r="818" ht="22.5" customHeight="1">
      <c r="A818" s="10"/>
      <c r="B818" s="31"/>
      <c r="C818" s="41"/>
      <c r="D818" s="9"/>
      <c r="E818" s="10"/>
      <c r="F818" s="10"/>
      <c r="G818" s="9"/>
      <c r="H818" s="10"/>
      <c r="I818" s="21" t="b">
        <v>0</v>
      </c>
    </row>
    <row r="819" ht="22.5" customHeight="1">
      <c r="A819" s="10"/>
      <c r="B819" s="31"/>
      <c r="C819" s="41"/>
      <c r="D819" s="9"/>
      <c r="E819" s="10"/>
      <c r="F819" s="10"/>
      <c r="G819" s="9"/>
      <c r="H819" s="10"/>
      <c r="I819" s="21" t="b">
        <v>0</v>
      </c>
    </row>
    <row r="820" ht="22.5" customHeight="1">
      <c r="A820" s="10"/>
      <c r="B820" s="31"/>
      <c r="C820" s="41"/>
      <c r="D820" s="9"/>
      <c r="E820" s="10"/>
      <c r="F820" s="10"/>
      <c r="G820" s="9"/>
      <c r="H820" s="10"/>
      <c r="I820" s="21" t="b">
        <v>0</v>
      </c>
    </row>
    <row r="821" ht="22.5" customHeight="1">
      <c r="A821" s="10"/>
      <c r="B821" s="31"/>
      <c r="C821" s="41"/>
      <c r="D821" s="9"/>
      <c r="E821" s="10"/>
      <c r="F821" s="10"/>
      <c r="G821" s="9"/>
      <c r="H821" s="10"/>
      <c r="I821" s="21" t="b">
        <v>0</v>
      </c>
    </row>
    <row r="822" ht="22.5" customHeight="1">
      <c r="A822" s="10"/>
      <c r="B822" s="31"/>
      <c r="C822" s="41"/>
      <c r="D822" s="9"/>
      <c r="E822" s="10"/>
      <c r="F822" s="10"/>
      <c r="G822" s="9"/>
      <c r="H822" s="10"/>
      <c r="I822" s="21" t="b">
        <v>0</v>
      </c>
    </row>
    <row r="823" ht="22.5" customHeight="1">
      <c r="A823" s="10"/>
      <c r="B823" s="31"/>
      <c r="C823" s="41"/>
      <c r="D823" s="9"/>
      <c r="E823" s="10"/>
      <c r="F823" s="10"/>
      <c r="G823" s="9"/>
      <c r="H823" s="10"/>
      <c r="I823" s="21" t="b">
        <v>0</v>
      </c>
    </row>
    <row r="824" ht="22.5" customHeight="1">
      <c r="A824" s="10"/>
      <c r="B824" s="31"/>
      <c r="C824" s="41"/>
      <c r="D824" s="9"/>
      <c r="E824" s="10"/>
      <c r="F824" s="10"/>
      <c r="G824" s="9"/>
      <c r="H824" s="10"/>
      <c r="I824" s="21" t="b">
        <v>0</v>
      </c>
    </row>
    <row r="825" ht="22.5" customHeight="1">
      <c r="A825" s="10"/>
      <c r="B825" s="31"/>
      <c r="C825" s="41"/>
      <c r="D825" s="9"/>
      <c r="E825" s="10"/>
      <c r="F825" s="10"/>
      <c r="G825" s="9"/>
      <c r="H825" s="10"/>
      <c r="I825" s="21" t="b">
        <v>0</v>
      </c>
    </row>
    <row r="826" ht="22.5" customHeight="1">
      <c r="A826" s="10"/>
      <c r="B826" s="31"/>
      <c r="C826" s="41"/>
      <c r="D826" s="9"/>
      <c r="E826" s="10"/>
      <c r="F826" s="10"/>
      <c r="G826" s="9"/>
      <c r="H826" s="10"/>
      <c r="I826" s="21" t="b">
        <v>0</v>
      </c>
    </row>
    <row r="827" ht="22.5" customHeight="1">
      <c r="A827" s="10"/>
      <c r="B827" s="31"/>
      <c r="C827" s="41"/>
      <c r="D827" s="9"/>
      <c r="E827" s="10"/>
      <c r="F827" s="10"/>
      <c r="G827" s="9"/>
      <c r="H827" s="10"/>
      <c r="I827" s="21" t="b">
        <v>0</v>
      </c>
    </row>
    <row r="828" ht="22.5" customHeight="1">
      <c r="A828" s="10"/>
      <c r="B828" s="31"/>
      <c r="C828" s="41"/>
      <c r="D828" s="9"/>
      <c r="E828" s="10"/>
      <c r="F828" s="10"/>
      <c r="G828" s="9"/>
      <c r="H828" s="10"/>
      <c r="I828" s="21" t="b">
        <v>0</v>
      </c>
    </row>
    <row r="829" ht="22.5" customHeight="1">
      <c r="A829" s="10"/>
      <c r="B829" s="31"/>
      <c r="C829" s="41"/>
      <c r="D829" s="9"/>
      <c r="E829" s="10"/>
      <c r="F829" s="10"/>
      <c r="G829" s="9"/>
      <c r="H829" s="10"/>
      <c r="I829" s="21" t="b">
        <v>0</v>
      </c>
    </row>
    <row r="830" ht="22.5" customHeight="1">
      <c r="A830" s="10"/>
      <c r="B830" s="31"/>
      <c r="C830" s="41"/>
      <c r="D830" s="9"/>
      <c r="E830" s="10"/>
      <c r="F830" s="10"/>
      <c r="G830" s="9"/>
      <c r="H830" s="10"/>
      <c r="I830" s="21" t="b">
        <v>0</v>
      </c>
    </row>
    <row r="831" ht="22.5" customHeight="1">
      <c r="A831" s="10"/>
      <c r="B831" s="31"/>
      <c r="C831" s="41"/>
      <c r="D831" s="9"/>
      <c r="E831" s="10"/>
      <c r="F831" s="10"/>
      <c r="G831" s="9"/>
      <c r="H831" s="10"/>
      <c r="I831" s="21" t="b">
        <v>0</v>
      </c>
    </row>
    <row r="832" ht="22.5" customHeight="1">
      <c r="A832" s="10"/>
      <c r="B832" s="31"/>
      <c r="C832" s="41"/>
      <c r="D832" s="9"/>
      <c r="E832" s="10"/>
      <c r="F832" s="10"/>
      <c r="G832" s="9"/>
      <c r="H832" s="10"/>
      <c r="I832" s="21" t="b">
        <v>0</v>
      </c>
    </row>
    <row r="833" ht="22.5" customHeight="1">
      <c r="A833" s="10"/>
      <c r="B833" s="31"/>
      <c r="C833" s="41"/>
      <c r="D833" s="9"/>
      <c r="E833" s="10"/>
      <c r="F833" s="10"/>
      <c r="G833" s="9"/>
      <c r="H833" s="10"/>
      <c r="I833" s="21" t="b">
        <v>0</v>
      </c>
    </row>
    <row r="834" ht="22.5" customHeight="1">
      <c r="A834" s="10"/>
      <c r="B834" s="31"/>
      <c r="C834" s="41"/>
      <c r="D834" s="9"/>
      <c r="E834" s="10"/>
      <c r="F834" s="10"/>
      <c r="G834" s="9"/>
      <c r="H834" s="10"/>
      <c r="I834" s="21" t="b">
        <v>0</v>
      </c>
    </row>
    <row r="835" ht="22.5" customHeight="1">
      <c r="A835" s="10"/>
      <c r="B835" s="31"/>
      <c r="C835" s="41"/>
      <c r="D835" s="9"/>
      <c r="E835" s="10"/>
      <c r="F835" s="10"/>
      <c r="G835" s="9"/>
      <c r="H835" s="10"/>
      <c r="I835" s="21" t="b">
        <v>0</v>
      </c>
    </row>
    <row r="836" ht="22.5" customHeight="1">
      <c r="A836" s="10"/>
      <c r="B836" s="31"/>
      <c r="C836" s="41"/>
      <c r="D836" s="9"/>
      <c r="E836" s="10"/>
      <c r="F836" s="10"/>
      <c r="G836" s="9"/>
      <c r="H836" s="10"/>
      <c r="I836" s="21" t="b">
        <v>0</v>
      </c>
    </row>
    <row r="837" ht="22.5" customHeight="1">
      <c r="A837" s="10"/>
      <c r="B837" s="31"/>
      <c r="C837" s="41"/>
      <c r="D837" s="9"/>
      <c r="E837" s="10"/>
      <c r="F837" s="10"/>
      <c r="G837" s="9"/>
      <c r="H837" s="10"/>
      <c r="I837" s="21" t="b">
        <v>0</v>
      </c>
    </row>
    <row r="838" ht="22.5" customHeight="1">
      <c r="A838" s="10"/>
      <c r="B838" s="31"/>
      <c r="C838" s="41"/>
      <c r="D838" s="9"/>
      <c r="E838" s="10"/>
      <c r="F838" s="10"/>
      <c r="G838" s="9"/>
      <c r="H838" s="10"/>
      <c r="I838" s="21" t="b">
        <v>0</v>
      </c>
    </row>
    <row r="839" ht="22.5" customHeight="1">
      <c r="A839" s="10"/>
      <c r="B839" s="31"/>
      <c r="C839" s="41"/>
      <c r="D839" s="9"/>
      <c r="E839" s="10"/>
      <c r="F839" s="10"/>
      <c r="G839" s="9"/>
      <c r="H839" s="10"/>
      <c r="I839" s="21" t="b">
        <v>0</v>
      </c>
    </row>
    <row r="840" ht="22.5" customHeight="1">
      <c r="A840" s="10"/>
      <c r="B840" s="31"/>
      <c r="C840" s="41"/>
      <c r="D840" s="9"/>
      <c r="E840" s="10"/>
      <c r="F840" s="10"/>
      <c r="G840" s="9"/>
      <c r="H840" s="10"/>
      <c r="I840" s="21" t="b">
        <v>0</v>
      </c>
    </row>
    <row r="841" ht="22.5" customHeight="1">
      <c r="A841" s="10"/>
      <c r="B841" s="31"/>
      <c r="C841" s="41"/>
      <c r="D841" s="9"/>
      <c r="E841" s="10"/>
      <c r="F841" s="10"/>
      <c r="G841" s="9"/>
      <c r="H841" s="10"/>
      <c r="I841" s="21" t="b">
        <v>0</v>
      </c>
    </row>
    <row r="842" ht="22.5" customHeight="1">
      <c r="A842" s="10"/>
      <c r="B842" s="31"/>
      <c r="C842" s="41"/>
      <c r="D842" s="9"/>
      <c r="E842" s="10"/>
      <c r="F842" s="10"/>
      <c r="G842" s="9"/>
      <c r="H842" s="10"/>
      <c r="I842" s="21" t="b">
        <v>0</v>
      </c>
    </row>
    <row r="843" ht="22.5" customHeight="1">
      <c r="A843" s="10"/>
      <c r="B843" s="31"/>
      <c r="C843" s="41"/>
      <c r="D843" s="9"/>
      <c r="E843" s="10"/>
      <c r="F843" s="10"/>
      <c r="G843" s="9"/>
      <c r="H843" s="10"/>
      <c r="I843" s="21" t="b">
        <v>0</v>
      </c>
    </row>
    <row r="844" ht="22.5" customHeight="1">
      <c r="A844" s="10"/>
      <c r="B844" s="31"/>
      <c r="C844" s="41"/>
      <c r="D844" s="9"/>
      <c r="E844" s="10"/>
      <c r="F844" s="10"/>
      <c r="G844" s="9"/>
      <c r="H844" s="10"/>
      <c r="I844" s="21" t="b">
        <v>0</v>
      </c>
    </row>
    <row r="845" ht="22.5" customHeight="1">
      <c r="A845" s="10"/>
      <c r="B845" s="31"/>
      <c r="C845" s="41"/>
      <c r="D845" s="9"/>
      <c r="E845" s="10"/>
      <c r="F845" s="10"/>
      <c r="G845" s="9"/>
      <c r="H845" s="10"/>
      <c r="I845" s="21" t="b">
        <v>0</v>
      </c>
    </row>
    <row r="846" ht="22.5" customHeight="1">
      <c r="A846" s="10"/>
      <c r="B846" s="31"/>
      <c r="C846" s="41"/>
      <c r="D846" s="9"/>
      <c r="E846" s="10"/>
      <c r="F846" s="10"/>
      <c r="G846" s="9"/>
      <c r="H846" s="10"/>
      <c r="I846" s="21" t="b">
        <v>0</v>
      </c>
    </row>
    <row r="847" ht="22.5" customHeight="1">
      <c r="A847" s="10"/>
      <c r="B847" s="31"/>
      <c r="C847" s="41"/>
      <c r="D847" s="9"/>
      <c r="E847" s="10"/>
      <c r="F847" s="10"/>
      <c r="G847" s="9"/>
      <c r="H847" s="10"/>
      <c r="I847" s="21" t="b">
        <v>0</v>
      </c>
    </row>
    <row r="848" ht="22.5" customHeight="1">
      <c r="A848" s="10"/>
      <c r="B848" s="31"/>
      <c r="C848" s="41"/>
      <c r="D848" s="9"/>
      <c r="E848" s="10"/>
      <c r="F848" s="10"/>
      <c r="G848" s="9"/>
      <c r="H848" s="10"/>
      <c r="I848" s="21" t="b">
        <v>0</v>
      </c>
    </row>
    <row r="849" ht="22.5" customHeight="1">
      <c r="A849" s="10"/>
      <c r="B849" s="31"/>
      <c r="C849" s="41"/>
      <c r="D849" s="9"/>
      <c r="E849" s="10"/>
      <c r="F849" s="10"/>
      <c r="G849" s="9"/>
      <c r="H849" s="10"/>
      <c r="I849" s="21" t="b">
        <v>0</v>
      </c>
    </row>
    <row r="850" ht="22.5" customHeight="1">
      <c r="A850" s="10"/>
      <c r="B850" s="31"/>
      <c r="C850" s="41"/>
      <c r="D850" s="9"/>
      <c r="E850" s="10"/>
      <c r="F850" s="10"/>
      <c r="G850" s="9"/>
      <c r="H850" s="10"/>
      <c r="I850" s="21" t="b">
        <v>0</v>
      </c>
    </row>
    <row r="851" ht="22.5" customHeight="1">
      <c r="A851" s="10"/>
      <c r="B851" s="31"/>
      <c r="C851" s="41"/>
      <c r="D851" s="9"/>
      <c r="E851" s="10"/>
      <c r="F851" s="10"/>
      <c r="G851" s="9"/>
      <c r="H851" s="10"/>
      <c r="I851" s="21" t="b">
        <v>0</v>
      </c>
    </row>
    <row r="852" ht="22.5" customHeight="1">
      <c r="A852" s="10"/>
      <c r="B852" s="31"/>
      <c r="C852" s="41"/>
      <c r="D852" s="9"/>
      <c r="E852" s="10"/>
      <c r="F852" s="10"/>
      <c r="G852" s="9"/>
      <c r="H852" s="10"/>
      <c r="I852" s="21" t="b">
        <v>0</v>
      </c>
    </row>
    <row r="853" ht="22.5" customHeight="1">
      <c r="A853" s="10"/>
      <c r="B853" s="31"/>
      <c r="C853" s="41"/>
      <c r="D853" s="9"/>
      <c r="E853" s="10"/>
      <c r="F853" s="10"/>
      <c r="G853" s="9"/>
      <c r="H853" s="10"/>
      <c r="I853" s="21" t="b">
        <v>0</v>
      </c>
    </row>
    <row r="854" ht="22.5" customHeight="1">
      <c r="A854" s="10"/>
      <c r="B854" s="31"/>
      <c r="C854" s="41"/>
      <c r="D854" s="9"/>
      <c r="E854" s="10"/>
      <c r="F854" s="10"/>
      <c r="G854" s="9"/>
      <c r="H854" s="10"/>
      <c r="I854" s="21" t="b">
        <v>0</v>
      </c>
    </row>
    <row r="855" ht="22.5" customHeight="1">
      <c r="A855" s="10"/>
      <c r="B855" s="31"/>
      <c r="C855" s="41"/>
      <c r="D855" s="9"/>
      <c r="E855" s="10"/>
      <c r="F855" s="10"/>
      <c r="G855" s="9"/>
      <c r="H855" s="10"/>
      <c r="I855" s="21" t="b">
        <v>0</v>
      </c>
    </row>
    <row r="856" ht="22.5" customHeight="1">
      <c r="A856" s="10"/>
      <c r="B856" s="31"/>
      <c r="C856" s="41"/>
      <c r="D856" s="9"/>
      <c r="E856" s="10"/>
      <c r="F856" s="10"/>
      <c r="G856" s="9"/>
      <c r="H856" s="10"/>
      <c r="I856" s="21" t="b">
        <v>0</v>
      </c>
    </row>
    <row r="857" ht="22.5" customHeight="1">
      <c r="A857" s="10"/>
      <c r="B857" s="31"/>
      <c r="C857" s="41"/>
      <c r="D857" s="9"/>
      <c r="E857" s="10"/>
      <c r="F857" s="10"/>
      <c r="G857" s="9"/>
      <c r="H857" s="10"/>
      <c r="I857" s="21" t="b">
        <v>0</v>
      </c>
    </row>
    <row r="858" ht="22.5" customHeight="1">
      <c r="A858" s="10"/>
      <c r="B858" s="31"/>
      <c r="C858" s="41"/>
      <c r="D858" s="9"/>
      <c r="E858" s="10"/>
      <c r="F858" s="10"/>
      <c r="G858" s="9"/>
      <c r="H858" s="10"/>
      <c r="I858" s="21" t="b">
        <v>0</v>
      </c>
    </row>
    <row r="859" ht="22.5" customHeight="1">
      <c r="A859" s="10"/>
      <c r="B859" s="31"/>
      <c r="C859" s="41"/>
      <c r="D859" s="9"/>
      <c r="E859" s="10"/>
      <c r="F859" s="10"/>
      <c r="G859" s="9"/>
      <c r="H859" s="10"/>
      <c r="I859" s="21" t="b">
        <v>0</v>
      </c>
    </row>
    <row r="860" ht="22.5" customHeight="1">
      <c r="A860" s="10"/>
      <c r="B860" s="31"/>
      <c r="C860" s="41"/>
      <c r="D860" s="9"/>
      <c r="E860" s="10"/>
      <c r="F860" s="10"/>
      <c r="G860" s="9"/>
      <c r="H860" s="10"/>
      <c r="I860" s="21" t="b">
        <v>0</v>
      </c>
    </row>
    <row r="861" ht="22.5" customHeight="1">
      <c r="A861" s="10"/>
      <c r="B861" s="31"/>
      <c r="C861" s="41"/>
      <c r="D861" s="9"/>
      <c r="E861" s="10"/>
      <c r="F861" s="10"/>
      <c r="G861" s="9"/>
      <c r="H861" s="10"/>
      <c r="I861" s="21" t="b">
        <v>0</v>
      </c>
    </row>
    <row r="862" ht="22.5" customHeight="1">
      <c r="A862" s="10"/>
      <c r="B862" s="31"/>
      <c r="C862" s="41"/>
      <c r="D862" s="9"/>
      <c r="E862" s="10"/>
      <c r="F862" s="10"/>
      <c r="G862" s="9"/>
      <c r="H862" s="10"/>
      <c r="I862" s="21" t="b">
        <v>0</v>
      </c>
    </row>
    <row r="863" ht="22.5" customHeight="1">
      <c r="A863" s="10"/>
      <c r="B863" s="31"/>
      <c r="C863" s="41"/>
      <c r="D863" s="9"/>
      <c r="E863" s="10"/>
      <c r="F863" s="10"/>
      <c r="G863" s="9"/>
      <c r="H863" s="10"/>
      <c r="I863" s="21" t="b">
        <v>0</v>
      </c>
    </row>
    <row r="864" ht="22.5" customHeight="1">
      <c r="A864" s="10"/>
      <c r="B864" s="31"/>
      <c r="C864" s="41"/>
      <c r="D864" s="9"/>
      <c r="E864" s="10"/>
      <c r="F864" s="10"/>
      <c r="G864" s="9"/>
      <c r="H864" s="10"/>
      <c r="I864" s="21" t="b">
        <v>0</v>
      </c>
    </row>
    <row r="865" ht="22.5" customHeight="1">
      <c r="A865" s="10"/>
      <c r="B865" s="31"/>
      <c r="C865" s="41"/>
      <c r="D865" s="9"/>
      <c r="E865" s="10"/>
      <c r="F865" s="10"/>
      <c r="G865" s="9"/>
      <c r="H865" s="10"/>
      <c r="I865" s="21" t="b">
        <v>0</v>
      </c>
    </row>
    <row r="866" ht="22.5" customHeight="1">
      <c r="A866" s="10"/>
      <c r="B866" s="31"/>
      <c r="C866" s="41"/>
      <c r="D866" s="9"/>
      <c r="E866" s="10"/>
      <c r="F866" s="10"/>
      <c r="G866" s="9"/>
      <c r="H866" s="10"/>
      <c r="I866" s="21" t="b">
        <v>0</v>
      </c>
    </row>
    <row r="867" ht="22.5" customHeight="1">
      <c r="A867" s="10"/>
      <c r="B867" s="31"/>
      <c r="C867" s="41"/>
      <c r="D867" s="9"/>
      <c r="E867" s="10"/>
      <c r="F867" s="10"/>
      <c r="G867" s="9"/>
      <c r="H867" s="10"/>
      <c r="I867" s="21" t="b">
        <v>0</v>
      </c>
    </row>
    <row r="868" ht="22.5" customHeight="1">
      <c r="A868" s="10"/>
      <c r="B868" s="31"/>
      <c r="C868" s="41"/>
      <c r="D868" s="9"/>
      <c r="E868" s="10"/>
      <c r="F868" s="10"/>
      <c r="G868" s="9"/>
      <c r="H868" s="10"/>
      <c r="I868" s="21" t="b">
        <v>0</v>
      </c>
    </row>
    <row r="869" ht="22.5" customHeight="1">
      <c r="A869" s="10"/>
      <c r="B869" s="31"/>
      <c r="C869" s="41"/>
      <c r="D869" s="9"/>
      <c r="E869" s="10"/>
      <c r="F869" s="10"/>
      <c r="G869" s="9"/>
      <c r="H869" s="10"/>
      <c r="I869" s="21" t="b">
        <v>0</v>
      </c>
    </row>
    <row r="870" ht="22.5" customHeight="1">
      <c r="A870" s="10"/>
      <c r="B870" s="31"/>
      <c r="C870" s="41"/>
      <c r="D870" s="9"/>
      <c r="E870" s="10"/>
      <c r="F870" s="10"/>
      <c r="G870" s="9"/>
      <c r="H870" s="10"/>
      <c r="I870" s="21" t="b">
        <v>0</v>
      </c>
    </row>
    <row r="871" ht="22.5" customHeight="1">
      <c r="A871" s="10"/>
      <c r="B871" s="31"/>
      <c r="C871" s="41"/>
      <c r="D871" s="9"/>
      <c r="E871" s="10"/>
      <c r="F871" s="10"/>
      <c r="G871" s="9"/>
      <c r="H871" s="10"/>
      <c r="I871" s="21" t="b">
        <v>0</v>
      </c>
    </row>
    <row r="872" ht="22.5" customHeight="1">
      <c r="A872" s="10"/>
      <c r="B872" s="31"/>
      <c r="C872" s="41"/>
      <c r="D872" s="9"/>
      <c r="E872" s="10"/>
      <c r="F872" s="10"/>
      <c r="G872" s="9"/>
      <c r="H872" s="10"/>
      <c r="I872" s="21" t="b">
        <v>0</v>
      </c>
    </row>
    <row r="873" ht="22.5" customHeight="1">
      <c r="A873" s="10"/>
      <c r="B873" s="31"/>
      <c r="C873" s="41"/>
      <c r="D873" s="9"/>
      <c r="E873" s="10"/>
      <c r="F873" s="10"/>
      <c r="G873" s="9"/>
      <c r="H873" s="10"/>
      <c r="I873" s="21" t="b">
        <v>0</v>
      </c>
    </row>
    <row r="874" ht="22.5" customHeight="1">
      <c r="A874" s="10"/>
      <c r="B874" s="31"/>
      <c r="C874" s="41"/>
      <c r="D874" s="9"/>
      <c r="E874" s="10"/>
      <c r="F874" s="10"/>
      <c r="G874" s="9"/>
      <c r="H874" s="10"/>
      <c r="I874" s="21" t="b">
        <v>0</v>
      </c>
    </row>
    <row r="875" ht="22.5" customHeight="1">
      <c r="A875" s="10"/>
      <c r="B875" s="31"/>
      <c r="C875" s="41"/>
      <c r="D875" s="9"/>
      <c r="E875" s="10"/>
      <c r="F875" s="10"/>
      <c r="G875" s="9"/>
      <c r="H875" s="10"/>
      <c r="I875" s="21" t="b">
        <v>0</v>
      </c>
    </row>
    <row r="876" ht="22.5" customHeight="1">
      <c r="A876" s="10"/>
      <c r="B876" s="31"/>
      <c r="C876" s="41"/>
      <c r="D876" s="9"/>
      <c r="E876" s="10"/>
      <c r="F876" s="10"/>
      <c r="G876" s="9"/>
      <c r="H876" s="10"/>
      <c r="I876" s="21" t="b">
        <v>0</v>
      </c>
    </row>
    <row r="877" ht="22.5" customHeight="1">
      <c r="A877" s="10"/>
      <c r="B877" s="31"/>
      <c r="C877" s="41"/>
      <c r="D877" s="9"/>
      <c r="E877" s="10"/>
      <c r="F877" s="10"/>
      <c r="G877" s="9"/>
      <c r="H877" s="10"/>
      <c r="I877" s="21" t="b">
        <v>0</v>
      </c>
    </row>
    <row r="878" ht="22.5" customHeight="1">
      <c r="A878" s="10"/>
      <c r="B878" s="31"/>
      <c r="C878" s="41"/>
      <c r="D878" s="9"/>
      <c r="E878" s="10"/>
      <c r="F878" s="10"/>
      <c r="G878" s="9"/>
      <c r="H878" s="10"/>
      <c r="I878" s="21" t="b">
        <v>0</v>
      </c>
    </row>
    <row r="879" ht="22.5" customHeight="1">
      <c r="A879" s="10"/>
      <c r="B879" s="31"/>
      <c r="C879" s="41"/>
      <c r="D879" s="9"/>
      <c r="E879" s="10"/>
      <c r="F879" s="10"/>
      <c r="G879" s="9"/>
      <c r="H879" s="10"/>
      <c r="I879" s="21" t="b">
        <v>0</v>
      </c>
    </row>
    <row r="880" ht="22.5" customHeight="1">
      <c r="A880" s="10"/>
      <c r="B880" s="31"/>
      <c r="C880" s="41"/>
      <c r="D880" s="9"/>
      <c r="E880" s="10"/>
      <c r="F880" s="10"/>
      <c r="G880" s="9"/>
      <c r="H880" s="10"/>
      <c r="I880" s="21" t="b">
        <v>0</v>
      </c>
    </row>
    <row r="881" ht="22.5" customHeight="1">
      <c r="A881" s="10"/>
      <c r="B881" s="31"/>
      <c r="C881" s="41"/>
      <c r="D881" s="9"/>
      <c r="E881" s="10"/>
      <c r="F881" s="10"/>
      <c r="G881" s="9"/>
      <c r="H881" s="10"/>
      <c r="I881" s="21" t="b">
        <v>0</v>
      </c>
    </row>
    <row r="882" ht="22.5" customHeight="1">
      <c r="A882" s="10"/>
      <c r="B882" s="31"/>
      <c r="C882" s="41"/>
      <c r="D882" s="9"/>
      <c r="E882" s="10"/>
      <c r="F882" s="10"/>
      <c r="G882" s="9"/>
      <c r="H882" s="10"/>
      <c r="I882" s="21" t="b">
        <v>0</v>
      </c>
    </row>
    <row r="883" ht="22.5" customHeight="1">
      <c r="A883" s="10"/>
      <c r="B883" s="31"/>
      <c r="C883" s="41"/>
      <c r="D883" s="9"/>
      <c r="E883" s="10"/>
      <c r="F883" s="10"/>
      <c r="G883" s="9"/>
      <c r="H883" s="10"/>
      <c r="I883" s="21" t="b">
        <v>0</v>
      </c>
    </row>
    <row r="884" ht="22.5" customHeight="1">
      <c r="A884" s="10"/>
      <c r="B884" s="31"/>
      <c r="C884" s="41"/>
      <c r="D884" s="9"/>
      <c r="E884" s="10"/>
      <c r="F884" s="10"/>
      <c r="G884" s="9"/>
      <c r="H884" s="10"/>
      <c r="I884" s="21" t="b">
        <v>0</v>
      </c>
    </row>
    <row r="885" ht="22.5" customHeight="1">
      <c r="A885" s="10"/>
      <c r="B885" s="31"/>
      <c r="C885" s="41"/>
      <c r="D885" s="9"/>
      <c r="E885" s="10"/>
      <c r="F885" s="10"/>
      <c r="G885" s="9"/>
      <c r="H885" s="10"/>
      <c r="I885" s="21" t="b">
        <v>0</v>
      </c>
    </row>
    <row r="886" ht="22.5" customHeight="1">
      <c r="A886" s="10"/>
      <c r="B886" s="31"/>
      <c r="C886" s="41"/>
      <c r="D886" s="9"/>
      <c r="E886" s="10"/>
      <c r="F886" s="10"/>
      <c r="G886" s="9"/>
      <c r="H886" s="10"/>
      <c r="I886" s="21" t="b">
        <v>0</v>
      </c>
    </row>
    <row r="887" ht="22.5" customHeight="1">
      <c r="A887" s="10"/>
      <c r="B887" s="31"/>
      <c r="C887" s="41"/>
      <c r="D887" s="9"/>
      <c r="E887" s="10"/>
      <c r="F887" s="10"/>
      <c r="G887" s="9"/>
      <c r="H887" s="10"/>
      <c r="I887" s="21" t="b">
        <v>0</v>
      </c>
    </row>
    <row r="888" ht="22.5" customHeight="1">
      <c r="A888" s="10"/>
      <c r="B888" s="31"/>
      <c r="C888" s="41"/>
      <c r="D888" s="9"/>
      <c r="E888" s="10"/>
      <c r="F888" s="10"/>
      <c r="G888" s="9"/>
      <c r="H888" s="10"/>
      <c r="I888" s="21" t="b">
        <v>0</v>
      </c>
    </row>
    <row r="889" ht="22.5" customHeight="1">
      <c r="A889" s="10"/>
      <c r="B889" s="31"/>
      <c r="C889" s="41"/>
      <c r="D889" s="9"/>
      <c r="E889" s="10"/>
      <c r="F889" s="10"/>
      <c r="G889" s="9"/>
      <c r="H889" s="10"/>
      <c r="I889" s="21" t="b">
        <v>0</v>
      </c>
    </row>
    <row r="890" ht="22.5" customHeight="1">
      <c r="A890" s="10"/>
      <c r="B890" s="31"/>
      <c r="C890" s="41"/>
      <c r="D890" s="9"/>
      <c r="E890" s="10"/>
      <c r="F890" s="10"/>
      <c r="G890" s="9"/>
      <c r="H890" s="10"/>
      <c r="I890" s="21" t="b">
        <v>0</v>
      </c>
    </row>
    <row r="891" ht="22.5" customHeight="1">
      <c r="A891" s="10"/>
      <c r="B891" s="31"/>
      <c r="C891" s="41"/>
      <c r="D891" s="9"/>
      <c r="E891" s="10"/>
      <c r="F891" s="10"/>
      <c r="G891" s="9"/>
      <c r="H891" s="10"/>
      <c r="I891" s="21" t="b">
        <v>0</v>
      </c>
    </row>
    <row r="892" ht="22.5" customHeight="1">
      <c r="A892" s="10"/>
      <c r="B892" s="31"/>
      <c r="C892" s="41"/>
      <c r="D892" s="9"/>
      <c r="E892" s="10"/>
      <c r="F892" s="10"/>
      <c r="G892" s="9"/>
      <c r="H892" s="10"/>
      <c r="I892" s="21" t="b">
        <v>0</v>
      </c>
    </row>
    <row r="893" ht="22.5" customHeight="1">
      <c r="A893" s="10"/>
      <c r="B893" s="31"/>
      <c r="C893" s="41"/>
      <c r="D893" s="9"/>
      <c r="E893" s="10"/>
      <c r="F893" s="10"/>
      <c r="G893" s="9"/>
      <c r="H893" s="10"/>
      <c r="I893" s="21" t="b">
        <v>0</v>
      </c>
    </row>
    <row r="894" ht="22.5" customHeight="1">
      <c r="A894" s="10"/>
      <c r="B894" s="31"/>
      <c r="C894" s="41"/>
      <c r="D894" s="9"/>
      <c r="E894" s="10"/>
      <c r="F894" s="10"/>
      <c r="G894" s="9"/>
      <c r="H894" s="10"/>
      <c r="I894" s="21" t="b">
        <v>0</v>
      </c>
    </row>
    <row r="895" ht="22.5" customHeight="1">
      <c r="A895" s="10"/>
      <c r="B895" s="31"/>
      <c r="C895" s="41"/>
      <c r="D895" s="9"/>
      <c r="E895" s="10"/>
      <c r="F895" s="10"/>
      <c r="G895" s="9"/>
      <c r="H895" s="10"/>
      <c r="I895" s="21" t="b">
        <v>0</v>
      </c>
    </row>
    <row r="896" ht="22.5" customHeight="1">
      <c r="A896" s="10"/>
      <c r="B896" s="31"/>
      <c r="C896" s="41"/>
      <c r="D896" s="9"/>
      <c r="E896" s="10"/>
      <c r="F896" s="10"/>
      <c r="G896" s="9"/>
      <c r="H896" s="10"/>
      <c r="I896" s="21" t="b">
        <v>0</v>
      </c>
    </row>
    <row r="897" ht="22.5" customHeight="1">
      <c r="A897" s="10"/>
      <c r="B897" s="31"/>
      <c r="C897" s="41"/>
      <c r="D897" s="9"/>
      <c r="E897" s="10"/>
      <c r="F897" s="10"/>
      <c r="G897" s="9"/>
      <c r="H897" s="10"/>
      <c r="I897" s="21" t="b">
        <v>0</v>
      </c>
    </row>
    <row r="898" ht="22.5" customHeight="1">
      <c r="A898" s="10"/>
      <c r="B898" s="31"/>
      <c r="C898" s="41"/>
      <c r="D898" s="9"/>
      <c r="E898" s="10"/>
      <c r="F898" s="10"/>
      <c r="G898" s="9"/>
      <c r="H898" s="10"/>
      <c r="I898" s="21" t="b">
        <v>0</v>
      </c>
    </row>
    <row r="899" ht="22.5" customHeight="1">
      <c r="A899" s="10"/>
      <c r="B899" s="31"/>
      <c r="C899" s="41"/>
      <c r="D899" s="9"/>
      <c r="E899" s="10"/>
      <c r="F899" s="10"/>
      <c r="G899" s="9"/>
      <c r="H899" s="10"/>
      <c r="I899" s="21" t="b">
        <v>0</v>
      </c>
    </row>
    <row r="900" ht="22.5" customHeight="1">
      <c r="A900" s="10"/>
      <c r="B900" s="31"/>
      <c r="C900" s="41"/>
      <c r="D900" s="9"/>
      <c r="E900" s="10"/>
      <c r="F900" s="10"/>
      <c r="G900" s="9"/>
      <c r="H900" s="10"/>
      <c r="I900" s="21" t="b">
        <v>0</v>
      </c>
    </row>
    <row r="901" ht="22.5" customHeight="1">
      <c r="A901" s="10"/>
      <c r="B901" s="31"/>
      <c r="C901" s="41"/>
      <c r="D901" s="9"/>
      <c r="E901" s="10"/>
      <c r="F901" s="10"/>
      <c r="G901" s="9"/>
      <c r="H901" s="10"/>
      <c r="I901" s="21" t="b">
        <v>0</v>
      </c>
    </row>
    <row r="902" ht="22.5" customHeight="1">
      <c r="A902" s="10"/>
      <c r="B902" s="31"/>
      <c r="C902" s="41"/>
      <c r="D902" s="9"/>
      <c r="E902" s="10"/>
      <c r="F902" s="10"/>
      <c r="G902" s="9"/>
      <c r="H902" s="10"/>
      <c r="I902" s="21" t="b">
        <v>0</v>
      </c>
    </row>
    <row r="903" ht="22.5" customHeight="1">
      <c r="A903" s="10"/>
      <c r="B903" s="31"/>
      <c r="C903" s="41"/>
      <c r="D903" s="9"/>
      <c r="E903" s="10"/>
      <c r="F903" s="10"/>
      <c r="G903" s="9"/>
      <c r="H903" s="10"/>
      <c r="I903" s="21" t="b">
        <v>0</v>
      </c>
    </row>
    <row r="904" ht="22.5" customHeight="1">
      <c r="A904" s="10"/>
      <c r="B904" s="31"/>
      <c r="C904" s="41"/>
      <c r="D904" s="9"/>
      <c r="E904" s="10"/>
      <c r="F904" s="10"/>
      <c r="G904" s="9"/>
      <c r="H904" s="10"/>
      <c r="I904" s="21" t="b">
        <v>0</v>
      </c>
    </row>
    <row r="905" ht="22.5" customHeight="1">
      <c r="A905" s="10"/>
      <c r="B905" s="31"/>
      <c r="C905" s="41"/>
      <c r="D905" s="9"/>
      <c r="E905" s="10"/>
      <c r="F905" s="10"/>
      <c r="G905" s="9"/>
      <c r="H905" s="10"/>
      <c r="I905" s="21" t="b">
        <v>0</v>
      </c>
    </row>
    <row r="906" ht="22.5" customHeight="1">
      <c r="A906" s="10"/>
      <c r="B906" s="31"/>
      <c r="C906" s="41"/>
      <c r="D906" s="9"/>
      <c r="E906" s="10"/>
      <c r="F906" s="10"/>
      <c r="G906" s="9"/>
      <c r="H906" s="10"/>
      <c r="I906" s="21" t="b">
        <v>0</v>
      </c>
    </row>
    <row r="907" ht="22.5" customHeight="1">
      <c r="A907" s="10"/>
      <c r="B907" s="31"/>
      <c r="C907" s="41"/>
      <c r="D907" s="9"/>
      <c r="E907" s="10"/>
      <c r="F907" s="10"/>
      <c r="G907" s="9"/>
      <c r="H907" s="10"/>
      <c r="I907" s="21" t="b">
        <v>0</v>
      </c>
    </row>
    <row r="908" ht="22.5" customHeight="1">
      <c r="A908" s="10"/>
      <c r="B908" s="31"/>
      <c r="C908" s="41"/>
      <c r="D908" s="9"/>
      <c r="E908" s="10"/>
      <c r="F908" s="10"/>
      <c r="G908" s="9"/>
      <c r="H908" s="10"/>
      <c r="I908" s="21" t="b">
        <v>0</v>
      </c>
    </row>
    <row r="909" ht="22.5" customHeight="1">
      <c r="A909" s="10"/>
      <c r="B909" s="31"/>
      <c r="C909" s="41"/>
      <c r="D909" s="9"/>
      <c r="E909" s="10"/>
      <c r="F909" s="10"/>
      <c r="G909" s="9"/>
      <c r="H909" s="10"/>
      <c r="I909" s="21" t="b">
        <v>0</v>
      </c>
    </row>
    <row r="910" ht="22.5" customHeight="1">
      <c r="A910" s="10"/>
      <c r="B910" s="31"/>
      <c r="C910" s="41"/>
      <c r="D910" s="9"/>
      <c r="E910" s="10"/>
      <c r="F910" s="10"/>
      <c r="G910" s="9"/>
      <c r="H910" s="10"/>
      <c r="I910" s="21" t="b">
        <v>0</v>
      </c>
    </row>
    <row r="911" ht="22.5" customHeight="1">
      <c r="A911" s="10"/>
      <c r="B911" s="31"/>
      <c r="C911" s="41"/>
      <c r="D911" s="9"/>
      <c r="E911" s="10"/>
      <c r="F911" s="10"/>
      <c r="G911" s="9"/>
      <c r="H911" s="10"/>
      <c r="I911" s="21" t="b">
        <v>0</v>
      </c>
    </row>
    <row r="912" ht="22.5" customHeight="1">
      <c r="A912" s="10"/>
      <c r="B912" s="31"/>
      <c r="C912" s="41"/>
      <c r="D912" s="9"/>
      <c r="E912" s="10"/>
      <c r="F912" s="10"/>
      <c r="G912" s="9"/>
      <c r="H912" s="10"/>
      <c r="I912" s="21" t="b">
        <v>0</v>
      </c>
    </row>
    <row r="913" ht="22.5" customHeight="1">
      <c r="A913" s="10"/>
      <c r="B913" s="31"/>
      <c r="C913" s="41"/>
      <c r="D913" s="9"/>
      <c r="E913" s="10"/>
      <c r="F913" s="10"/>
      <c r="G913" s="9"/>
      <c r="H913" s="10"/>
      <c r="I913" s="21" t="b">
        <v>0</v>
      </c>
    </row>
    <row r="914" ht="22.5" customHeight="1">
      <c r="A914" s="10"/>
      <c r="B914" s="31"/>
      <c r="C914" s="41"/>
      <c r="D914" s="9"/>
      <c r="E914" s="10"/>
      <c r="F914" s="10"/>
      <c r="G914" s="9"/>
      <c r="H914" s="10"/>
      <c r="I914" s="21" t="b">
        <v>0</v>
      </c>
    </row>
    <row r="915" ht="22.5" customHeight="1">
      <c r="A915" s="10"/>
      <c r="B915" s="31"/>
      <c r="C915" s="41"/>
      <c r="D915" s="9"/>
      <c r="E915" s="10"/>
      <c r="F915" s="10"/>
      <c r="G915" s="9"/>
      <c r="H915" s="10"/>
      <c r="I915" s="21" t="b">
        <v>0</v>
      </c>
    </row>
    <row r="916" ht="22.5" customHeight="1">
      <c r="A916" s="10"/>
      <c r="B916" s="31"/>
      <c r="C916" s="41"/>
      <c r="D916" s="9"/>
      <c r="E916" s="10"/>
      <c r="F916" s="10"/>
      <c r="G916" s="9"/>
      <c r="H916" s="10"/>
      <c r="I916" s="21" t="b">
        <v>0</v>
      </c>
    </row>
    <row r="917" ht="22.5" customHeight="1">
      <c r="A917" s="10"/>
      <c r="B917" s="31"/>
      <c r="C917" s="41"/>
      <c r="D917" s="9"/>
      <c r="E917" s="10"/>
      <c r="F917" s="10"/>
      <c r="G917" s="9"/>
      <c r="H917" s="10"/>
      <c r="I917" s="21" t="b">
        <v>0</v>
      </c>
    </row>
    <row r="918" ht="22.5" customHeight="1">
      <c r="A918" s="10"/>
      <c r="B918" s="31"/>
      <c r="C918" s="41"/>
      <c r="D918" s="9"/>
      <c r="E918" s="10"/>
      <c r="F918" s="10"/>
      <c r="G918" s="9"/>
      <c r="H918" s="10"/>
      <c r="I918" s="21" t="b">
        <v>0</v>
      </c>
    </row>
    <row r="919" ht="22.5" customHeight="1">
      <c r="A919" s="10"/>
      <c r="B919" s="31"/>
      <c r="C919" s="41"/>
      <c r="D919" s="9"/>
      <c r="E919" s="10"/>
      <c r="F919" s="10"/>
      <c r="G919" s="9"/>
      <c r="H919" s="10"/>
      <c r="I919" s="21" t="b">
        <v>0</v>
      </c>
    </row>
    <row r="920" ht="22.5" customHeight="1">
      <c r="A920" s="10"/>
      <c r="B920" s="31"/>
      <c r="C920" s="41"/>
      <c r="D920" s="9"/>
      <c r="E920" s="10"/>
      <c r="F920" s="10"/>
      <c r="G920" s="9"/>
      <c r="H920" s="10"/>
      <c r="I920" s="21" t="b">
        <v>0</v>
      </c>
    </row>
    <row r="921" ht="22.5" customHeight="1">
      <c r="A921" s="10"/>
      <c r="B921" s="31"/>
      <c r="C921" s="41"/>
      <c r="D921" s="9"/>
      <c r="E921" s="10"/>
      <c r="F921" s="10"/>
      <c r="G921" s="9"/>
      <c r="H921" s="10"/>
      <c r="I921" s="21" t="b">
        <v>0</v>
      </c>
    </row>
    <row r="922" ht="22.5" customHeight="1">
      <c r="A922" s="10"/>
      <c r="B922" s="31"/>
      <c r="C922" s="41"/>
      <c r="D922" s="9"/>
      <c r="E922" s="10"/>
      <c r="F922" s="10"/>
      <c r="G922" s="9"/>
      <c r="H922" s="10"/>
      <c r="I922" s="21" t="b">
        <v>0</v>
      </c>
    </row>
    <row r="923" ht="22.5" customHeight="1">
      <c r="A923" s="10"/>
      <c r="B923" s="31"/>
      <c r="C923" s="41"/>
      <c r="D923" s="9"/>
      <c r="E923" s="10"/>
      <c r="F923" s="10"/>
      <c r="G923" s="9"/>
      <c r="H923" s="10"/>
      <c r="I923" s="21" t="b">
        <v>0</v>
      </c>
    </row>
    <row r="924" ht="22.5" customHeight="1">
      <c r="A924" s="10"/>
      <c r="B924" s="31"/>
      <c r="C924" s="41"/>
      <c r="D924" s="9"/>
      <c r="E924" s="10"/>
      <c r="F924" s="10"/>
      <c r="G924" s="9"/>
      <c r="H924" s="10"/>
      <c r="I924" s="21" t="b">
        <v>0</v>
      </c>
    </row>
    <row r="925" ht="22.5" customHeight="1">
      <c r="A925" s="10"/>
      <c r="B925" s="31"/>
      <c r="C925" s="41"/>
      <c r="D925" s="9"/>
      <c r="E925" s="10"/>
      <c r="F925" s="10"/>
      <c r="G925" s="9"/>
      <c r="H925" s="10"/>
      <c r="I925" s="21" t="b">
        <v>0</v>
      </c>
    </row>
    <row r="926" ht="22.5" customHeight="1">
      <c r="A926" s="10"/>
      <c r="B926" s="31"/>
      <c r="C926" s="41"/>
      <c r="D926" s="9"/>
      <c r="E926" s="10"/>
      <c r="F926" s="10"/>
      <c r="G926" s="9"/>
      <c r="H926" s="10"/>
      <c r="I926" s="21" t="b">
        <v>0</v>
      </c>
    </row>
    <row r="927" ht="22.5" customHeight="1">
      <c r="A927" s="10"/>
      <c r="B927" s="31"/>
      <c r="C927" s="41"/>
      <c r="D927" s="9"/>
      <c r="E927" s="10"/>
      <c r="F927" s="10"/>
      <c r="G927" s="9"/>
      <c r="H927" s="10"/>
      <c r="I927" s="21" t="b">
        <v>0</v>
      </c>
    </row>
    <row r="928" ht="22.5" customHeight="1">
      <c r="A928" s="10"/>
      <c r="B928" s="31"/>
      <c r="C928" s="41"/>
      <c r="D928" s="9"/>
      <c r="E928" s="10"/>
      <c r="F928" s="10"/>
      <c r="G928" s="9"/>
      <c r="H928" s="10"/>
      <c r="I928" s="21" t="b">
        <v>0</v>
      </c>
    </row>
    <row r="929" ht="22.5" customHeight="1">
      <c r="A929" s="10"/>
      <c r="B929" s="31"/>
      <c r="C929" s="41"/>
      <c r="D929" s="9"/>
      <c r="E929" s="10"/>
      <c r="F929" s="10"/>
      <c r="G929" s="9"/>
      <c r="H929" s="10"/>
      <c r="I929" s="21" t="b">
        <v>0</v>
      </c>
    </row>
    <row r="930" ht="22.5" customHeight="1">
      <c r="A930" s="10"/>
      <c r="B930" s="31"/>
      <c r="C930" s="41"/>
      <c r="D930" s="9"/>
      <c r="E930" s="10"/>
      <c r="F930" s="10"/>
      <c r="G930" s="9"/>
      <c r="H930" s="10"/>
      <c r="I930" s="21" t="b">
        <v>0</v>
      </c>
    </row>
    <row r="931" ht="22.5" customHeight="1">
      <c r="A931" s="10"/>
      <c r="B931" s="31"/>
      <c r="C931" s="41"/>
      <c r="D931" s="9"/>
      <c r="E931" s="10"/>
      <c r="F931" s="10"/>
      <c r="G931" s="9"/>
      <c r="H931" s="10"/>
      <c r="I931" s="21" t="b">
        <v>0</v>
      </c>
    </row>
    <row r="932" ht="22.5" customHeight="1">
      <c r="A932" s="10"/>
      <c r="B932" s="31"/>
      <c r="C932" s="41"/>
      <c r="D932" s="9"/>
      <c r="E932" s="10"/>
      <c r="F932" s="10"/>
      <c r="G932" s="9"/>
      <c r="H932" s="10"/>
      <c r="I932" s="21" t="b">
        <v>0</v>
      </c>
    </row>
    <row r="933" ht="22.5" customHeight="1">
      <c r="A933" s="10"/>
      <c r="B933" s="31"/>
      <c r="C933" s="41"/>
      <c r="D933" s="9"/>
      <c r="E933" s="10"/>
      <c r="F933" s="10"/>
      <c r="G933" s="9"/>
      <c r="H933" s="10"/>
      <c r="I933" s="21" t="b">
        <v>0</v>
      </c>
    </row>
    <row r="934" ht="22.5" customHeight="1">
      <c r="A934" s="10"/>
      <c r="B934" s="31"/>
      <c r="C934" s="41"/>
      <c r="D934" s="9"/>
      <c r="E934" s="10"/>
      <c r="F934" s="10"/>
      <c r="G934" s="9"/>
      <c r="H934" s="10"/>
      <c r="I934" s="21" t="b">
        <v>0</v>
      </c>
    </row>
    <row r="935" ht="22.5" customHeight="1">
      <c r="A935" s="10"/>
      <c r="B935" s="31"/>
      <c r="C935" s="41"/>
      <c r="D935" s="9"/>
      <c r="E935" s="10"/>
      <c r="F935" s="10"/>
      <c r="G935" s="9"/>
      <c r="H935" s="10"/>
      <c r="I935" s="21" t="b">
        <v>0</v>
      </c>
    </row>
    <row r="936" ht="22.5" customHeight="1">
      <c r="A936" s="10"/>
      <c r="B936" s="31"/>
      <c r="C936" s="41"/>
      <c r="D936" s="9"/>
      <c r="E936" s="10"/>
      <c r="F936" s="10"/>
      <c r="G936" s="9"/>
      <c r="H936" s="10"/>
      <c r="I936" s="21" t="b">
        <v>0</v>
      </c>
    </row>
    <row r="937" ht="22.5" customHeight="1">
      <c r="A937" s="10"/>
      <c r="B937" s="31"/>
      <c r="C937" s="41"/>
      <c r="D937" s="9"/>
      <c r="E937" s="10"/>
      <c r="F937" s="10"/>
      <c r="G937" s="9"/>
      <c r="H937" s="10"/>
      <c r="I937" s="21" t="b">
        <v>0</v>
      </c>
    </row>
    <row r="938" ht="22.5" customHeight="1">
      <c r="A938" s="10"/>
      <c r="B938" s="31"/>
      <c r="C938" s="41"/>
      <c r="D938" s="9"/>
      <c r="E938" s="10"/>
      <c r="F938" s="10"/>
      <c r="G938" s="9"/>
      <c r="H938" s="10"/>
      <c r="I938" s="21" t="b">
        <v>0</v>
      </c>
    </row>
    <row r="939" ht="22.5" customHeight="1">
      <c r="A939" s="10"/>
      <c r="B939" s="31"/>
      <c r="C939" s="41"/>
      <c r="D939" s="9"/>
      <c r="E939" s="10"/>
      <c r="F939" s="10"/>
      <c r="G939" s="9"/>
      <c r="H939" s="10"/>
      <c r="I939" s="21" t="b">
        <v>0</v>
      </c>
    </row>
    <row r="940" ht="22.5" customHeight="1">
      <c r="A940" s="10"/>
      <c r="B940" s="31"/>
      <c r="C940" s="41"/>
      <c r="D940" s="9"/>
      <c r="E940" s="10"/>
      <c r="F940" s="10"/>
      <c r="G940" s="9"/>
      <c r="H940" s="10"/>
      <c r="I940" s="21" t="b">
        <v>0</v>
      </c>
    </row>
    <row r="941" ht="22.5" customHeight="1">
      <c r="A941" s="10"/>
      <c r="B941" s="31"/>
      <c r="C941" s="41"/>
      <c r="D941" s="9"/>
      <c r="E941" s="10"/>
      <c r="F941" s="10"/>
      <c r="G941" s="9"/>
      <c r="H941" s="10"/>
      <c r="I941" s="21" t="b">
        <v>0</v>
      </c>
    </row>
    <row r="942" ht="22.5" customHeight="1">
      <c r="A942" s="10"/>
      <c r="B942" s="31"/>
      <c r="C942" s="41"/>
      <c r="D942" s="9"/>
      <c r="E942" s="10"/>
      <c r="F942" s="10"/>
      <c r="G942" s="9"/>
      <c r="H942" s="10"/>
      <c r="I942" s="21" t="b">
        <v>0</v>
      </c>
    </row>
    <row r="943" ht="22.5" customHeight="1">
      <c r="A943" s="10"/>
      <c r="B943" s="31"/>
      <c r="C943" s="41"/>
      <c r="D943" s="9"/>
      <c r="E943" s="10"/>
      <c r="F943" s="10"/>
      <c r="G943" s="9"/>
      <c r="H943" s="10"/>
      <c r="I943" s="21" t="b">
        <v>0</v>
      </c>
    </row>
    <row r="944" ht="22.5" customHeight="1">
      <c r="A944" s="10"/>
      <c r="B944" s="31"/>
      <c r="C944" s="41"/>
      <c r="D944" s="9"/>
      <c r="E944" s="10"/>
      <c r="F944" s="10"/>
      <c r="G944" s="9"/>
      <c r="H944" s="10"/>
      <c r="I944" s="21" t="b">
        <v>0</v>
      </c>
    </row>
    <row r="945" ht="22.5" customHeight="1">
      <c r="A945" s="10"/>
      <c r="B945" s="31"/>
      <c r="C945" s="41"/>
      <c r="D945" s="9"/>
      <c r="E945" s="10"/>
      <c r="F945" s="10"/>
      <c r="G945" s="9"/>
      <c r="H945" s="10"/>
      <c r="I945" s="21" t="b">
        <v>0</v>
      </c>
    </row>
    <row r="946" ht="22.5" customHeight="1">
      <c r="A946" s="10"/>
      <c r="B946" s="31"/>
      <c r="C946" s="41"/>
      <c r="D946" s="9"/>
      <c r="E946" s="10"/>
      <c r="F946" s="10"/>
      <c r="G946" s="9"/>
      <c r="H946" s="10"/>
      <c r="I946" s="21" t="b">
        <v>0</v>
      </c>
    </row>
    <row r="947" ht="22.5" customHeight="1">
      <c r="A947" s="10"/>
      <c r="B947" s="31"/>
      <c r="C947" s="41"/>
      <c r="D947" s="9"/>
      <c r="E947" s="10"/>
      <c r="F947" s="10"/>
      <c r="G947" s="9"/>
      <c r="H947" s="10"/>
      <c r="I947" s="21" t="b">
        <v>0</v>
      </c>
    </row>
    <row r="948" ht="22.5" customHeight="1">
      <c r="A948" s="10"/>
      <c r="B948" s="31"/>
      <c r="C948" s="41"/>
      <c r="D948" s="9"/>
      <c r="E948" s="10"/>
      <c r="F948" s="10"/>
      <c r="G948" s="9"/>
      <c r="H948" s="10"/>
      <c r="I948" s="21" t="b">
        <v>0</v>
      </c>
    </row>
    <row r="949" ht="22.5" customHeight="1">
      <c r="A949" s="10"/>
      <c r="B949" s="31"/>
      <c r="C949" s="41"/>
      <c r="D949" s="9"/>
      <c r="E949" s="10"/>
      <c r="F949" s="10"/>
      <c r="G949" s="9"/>
      <c r="H949" s="10"/>
      <c r="I949" s="21" t="b">
        <v>0</v>
      </c>
    </row>
    <row r="950" ht="22.5" customHeight="1">
      <c r="A950" s="10"/>
      <c r="B950" s="31"/>
      <c r="C950" s="41"/>
      <c r="D950" s="9"/>
      <c r="E950" s="10"/>
      <c r="F950" s="10"/>
      <c r="G950" s="9"/>
      <c r="H950" s="10"/>
      <c r="I950" s="21" t="b">
        <v>0</v>
      </c>
    </row>
    <row r="951" ht="22.5" customHeight="1">
      <c r="A951" s="10"/>
      <c r="B951" s="31"/>
      <c r="C951" s="41"/>
      <c r="D951" s="9"/>
      <c r="E951" s="10"/>
      <c r="F951" s="10"/>
      <c r="G951" s="9"/>
      <c r="H951" s="10"/>
      <c r="I951" s="21" t="b">
        <v>0</v>
      </c>
    </row>
    <row r="952" ht="22.5" customHeight="1">
      <c r="A952" s="10"/>
      <c r="B952" s="31"/>
      <c r="C952" s="41"/>
      <c r="D952" s="9"/>
      <c r="E952" s="10"/>
      <c r="F952" s="10"/>
      <c r="G952" s="9"/>
      <c r="H952" s="10"/>
      <c r="I952" s="21" t="b">
        <v>0</v>
      </c>
    </row>
    <row r="953" ht="22.5" customHeight="1">
      <c r="A953" s="10"/>
      <c r="B953" s="31"/>
      <c r="C953" s="41"/>
      <c r="D953" s="9"/>
      <c r="E953" s="10"/>
      <c r="F953" s="10"/>
      <c r="G953" s="9"/>
      <c r="H953" s="10"/>
      <c r="I953" s="21" t="b">
        <v>0</v>
      </c>
    </row>
    <row r="954" ht="22.5" customHeight="1">
      <c r="A954" s="10"/>
      <c r="B954" s="31"/>
      <c r="C954" s="41"/>
      <c r="D954" s="9"/>
      <c r="E954" s="10"/>
      <c r="F954" s="10"/>
      <c r="G954" s="9"/>
      <c r="H954" s="10"/>
      <c r="I954" s="21" t="b">
        <v>0</v>
      </c>
    </row>
    <row r="955" ht="22.5" customHeight="1">
      <c r="A955" s="10"/>
      <c r="B955" s="31"/>
      <c r="C955" s="41"/>
      <c r="D955" s="9"/>
      <c r="E955" s="10"/>
      <c r="F955" s="10"/>
      <c r="G955" s="9"/>
      <c r="H955" s="10"/>
      <c r="I955" s="21" t="b">
        <v>0</v>
      </c>
    </row>
    <row r="956" ht="22.5" customHeight="1">
      <c r="A956" s="10"/>
      <c r="B956" s="31"/>
      <c r="C956" s="41"/>
      <c r="D956" s="9"/>
      <c r="E956" s="10"/>
      <c r="F956" s="10"/>
      <c r="G956" s="9"/>
      <c r="H956" s="10"/>
      <c r="I956" s="21" t="b">
        <v>0</v>
      </c>
    </row>
    <row r="957" ht="22.5" customHeight="1">
      <c r="A957" s="10"/>
      <c r="B957" s="31"/>
      <c r="C957" s="41"/>
      <c r="D957" s="9"/>
      <c r="E957" s="10"/>
      <c r="F957" s="10"/>
      <c r="G957" s="9"/>
      <c r="H957" s="10"/>
      <c r="I957" s="21" t="b">
        <v>0</v>
      </c>
    </row>
    <row r="958" ht="22.5" customHeight="1">
      <c r="A958" s="10"/>
      <c r="B958" s="31"/>
      <c r="C958" s="41"/>
      <c r="D958" s="9"/>
      <c r="E958" s="10"/>
      <c r="F958" s="10"/>
      <c r="G958" s="9"/>
      <c r="H958" s="10"/>
      <c r="I958" s="21" t="b">
        <v>0</v>
      </c>
    </row>
    <row r="959" ht="22.5" customHeight="1">
      <c r="A959" s="10"/>
      <c r="B959" s="31"/>
      <c r="C959" s="41"/>
      <c r="D959" s="9"/>
      <c r="E959" s="10"/>
      <c r="F959" s="10"/>
      <c r="G959" s="9"/>
      <c r="H959" s="10"/>
      <c r="I959" s="21" t="b">
        <v>0</v>
      </c>
    </row>
    <row r="960" ht="22.5" customHeight="1">
      <c r="A960" s="10"/>
      <c r="B960" s="31"/>
      <c r="C960" s="41"/>
      <c r="D960" s="9"/>
      <c r="E960" s="10"/>
      <c r="F960" s="10"/>
      <c r="G960" s="9"/>
      <c r="H960" s="10"/>
      <c r="I960" s="21" t="b">
        <v>0</v>
      </c>
    </row>
    <row r="961" ht="22.5" customHeight="1">
      <c r="A961" s="10"/>
      <c r="B961" s="31"/>
      <c r="C961" s="41"/>
      <c r="D961" s="9"/>
      <c r="E961" s="10"/>
      <c r="F961" s="10"/>
      <c r="G961" s="9"/>
      <c r="H961" s="10"/>
      <c r="I961" s="21" t="b">
        <v>0</v>
      </c>
    </row>
    <row r="962" ht="22.5" customHeight="1">
      <c r="A962" s="10"/>
      <c r="B962" s="31"/>
      <c r="C962" s="41"/>
      <c r="D962" s="9"/>
      <c r="E962" s="10"/>
      <c r="F962" s="10"/>
      <c r="G962" s="9"/>
      <c r="H962" s="10"/>
      <c r="I962" s="21" t="b">
        <v>0</v>
      </c>
    </row>
    <row r="963" ht="22.5" customHeight="1">
      <c r="A963" s="10"/>
      <c r="B963" s="31"/>
      <c r="C963" s="41"/>
      <c r="D963" s="9"/>
      <c r="E963" s="10"/>
      <c r="F963" s="10"/>
      <c r="G963" s="9"/>
      <c r="H963" s="10"/>
      <c r="I963" s="21" t="b">
        <v>0</v>
      </c>
    </row>
    <row r="964" ht="22.5" customHeight="1">
      <c r="A964" s="10"/>
      <c r="B964" s="31"/>
      <c r="C964" s="41"/>
      <c r="D964" s="9"/>
      <c r="E964" s="10"/>
      <c r="F964" s="10"/>
      <c r="G964" s="9"/>
      <c r="H964" s="10"/>
      <c r="I964" s="21" t="b">
        <v>0</v>
      </c>
    </row>
    <row r="965" ht="22.5" customHeight="1">
      <c r="A965" s="10"/>
      <c r="B965" s="31"/>
      <c r="C965" s="41"/>
      <c r="D965" s="9"/>
      <c r="E965" s="10"/>
      <c r="F965" s="10"/>
      <c r="G965" s="9"/>
      <c r="H965" s="10"/>
      <c r="I965" s="21" t="b">
        <v>0</v>
      </c>
    </row>
    <row r="966" ht="22.5" customHeight="1">
      <c r="A966" s="10"/>
      <c r="B966" s="31"/>
      <c r="C966" s="41"/>
      <c r="D966" s="9"/>
      <c r="E966" s="10"/>
      <c r="F966" s="10"/>
      <c r="G966" s="9"/>
      <c r="H966" s="10"/>
      <c r="I966" s="21" t="b">
        <v>0</v>
      </c>
    </row>
    <row r="967" ht="22.5" customHeight="1">
      <c r="A967" s="10"/>
      <c r="B967" s="31"/>
      <c r="C967" s="41"/>
      <c r="D967" s="9"/>
      <c r="E967" s="10"/>
      <c r="F967" s="10"/>
      <c r="G967" s="9"/>
      <c r="H967" s="10"/>
      <c r="I967" s="21" t="b">
        <v>0</v>
      </c>
    </row>
    <row r="968" ht="22.5" customHeight="1">
      <c r="A968" s="10"/>
      <c r="B968" s="31"/>
      <c r="C968" s="41"/>
      <c r="D968" s="9"/>
      <c r="E968" s="10"/>
      <c r="F968" s="10"/>
      <c r="G968" s="9"/>
      <c r="H968" s="10"/>
      <c r="I968" s="21" t="b">
        <v>0</v>
      </c>
    </row>
    <row r="969" ht="22.5" customHeight="1">
      <c r="A969" s="10"/>
      <c r="B969" s="31"/>
      <c r="C969" s="41"/>
      <c r="D969" s="9"/>
      <c r="E969" s="10"/>
      <c r="F969" s="10"/>
      <c r="G969" s="9"/>
      <c r="H969" s="10"/>
      <c r="I969" s="21" t="b">
        <v>0</v>
      </c>
    </row>
    <row r="970" ht="22.5" customHeight="1">
      <c r="A970" s="10"/>
      <c r="B970" s="31"/>
      <c r="C970" s="41"/>
      <c r="D970" s="9"/>
      <c r="E970" s="10"/>
      <c r="F970" s="10"/>
      <c r="G970" s="9"/>
      <c r="H970" s="10"/>
      <c r="I970" s="21" t="b">
        <v>0</v>
      </c>
    </row>
    <row r="971" ht="22.5" customHeight="1">
      <c r="A971" s="10"/>
      <c r="B971" s="31"/>
      <c r="C971" s="41"/>
      <c r="D971" s="9"/>
      <c r="E971" s="10"/>
      <c r="F971" s="10"/>
      <c r="G971" s="9"/>
      <c r="H971" s="10"/>
      <c r="I971" s="21" t="b">
        <v>0</v>
      </c>
    </row>
    <row r="972" ht="22.5" customHeight="1">
      <c r="A972" s="10"/>
      <c r="B972" s="31"/>
      <c r="C972" s="41"/>
      <c r="D972" s="9"/>
      <c r="E972" s="10"/>
      <c r="F972" s="10"/>
      <c r="G972" s="9"/>
      <c r="H972" s="10"/>
      <c r="I972" s="21" t="b">
        <v>0</v>
      </c>
    </row>
    <row r="973" ht="22.5" customHeight="1">
      <c r="A973" s="10"/>
      <c r="B973" s="31"/>
      <c r="C973" s="41"/>
      <c r="D973" s="9"/>
      <c r="E973" s="10"/>
      <c r="F973" s="10"/>
      <c r="G973" s="9"/>
      <c r="H973" s="10"/>
      <c r="I973" s="21" t="b">
        <v>0</v>
      </c>
    </row>
    <row r="974" ht="22.5" customHeight="1">
      <c r="A974" s="10"/>
      <c r="B974" s="31"/>
      <c r="C974" s="41"/>
      <c r="D974" s="9"/>
      <c r="E974" s="10"/>
      <c r="F974" s="10"/>
      <c r="G974" s="9"/>
      <c r="H974" s="10"/>
      <c r="I974" s="21" t="b">
        <v>0</v>
      </c>
    </row>
    <row r="975" ht="22.5" customHeight="1">
      <c r="A975" s="10"/>
      <c r="B975" s="31"/>
      <c r="C975" s="41"/>
      <c r="D975" s="9"/>
      <c r="E975" s="10"/>
      <c r="F975" s="10"/>
      <c r="G975" s="9"/>
      <c r="H975" s="10"/>
      <c r="I975" s="21" t="b">
        <v>0</v>
      </c>
    </row>
    <row r="976" ht="22.5" customHeight="1">
      <c r="A976" s="10"/>
      <c r="B976" s="31"/>
      <c r="C976" s="41"/>
      <c r="D976" s="9"/>
      <c r="E976" s="10"/>
      <c r="F976" s="10"/>
      <c r="G976" s="9"/>
      <c r="H976" s="10"/>
      <c r="I976" s="21" t="b">
        <v>0</v>
      </c>
    </row>
    <row r="977" ht="22.5" customHeight="1">
      <c r="A977" s="10"/>
      <c r="B977" s="31"/>
      <c r="C977" s="41"/>
      <c r="D977" s="9"/>
      <c r="E977" s="10"/>
      <c r="F977" s="10"/>
      <c r="G977" s="9"/>
      <c r="H977" s="10"/>
      <c r="I977" s="21" t="b">
        <v>0</v>
      </c>
    </row>
    <row r="978" ht="22.5" customHeight="1">
      <c r="A978" s="10"/>
      <c r="B978" s="31"/>
      <c r="C978" s="41"/>
      <c r="D978" s="9"/>
      <c r="E978" s="10"/>
      <c r="F978" s="10"/>
      <c r="G978" s="9"/>
      <c r="H978" s="10"/>
      <c r="I978" s="21" t="b">
        <v>0</v>
      </c>
    </row>
    <row r="979" ht="22.5" customHeight="1">
      <c r="A979" s="10"/>
      <c r="B979" s="31"/>
      <c r="C979" s="41"/>
      <c r="D979" s="9"/>
      <c r="E979" s="10"/>
      <c r="F979" s="10"/>
      <c r="G979" s="9"/>
      <c r="H979" s="10"/>
      <c r="I979" s="21" t="b">
        <v>0</v>
      </c>
    </row>
    <row r="980" ht="22.5" customHeight="1">
      <c r="A980" s="10"/>
      <c r="B980" s="31"/>
      <c r="C980" s="41"/>
      <c r="D980" s="9"/>
      <c r="E980" s="10"/>
      <c r="F980" s="10"/>
      <c r="G980" s="9"/>
      <c r="H980" s="10"/>
      <c r="I980" s="21" t="b">
        <v>0</v>
      </c>
    </row>
    <row r="981" ht="22.5" customHeight="1">
      <c r="A981" s="10"/>
      <c r="B981" s="31"/>
      <c r="C981" s="41"/>
      <c r="D981" s="9"/>
      <c r="E981" s="10"/>
      <c r="F981" s="10"/>
      <c r="G981" s="9"/>
      <c r="H981" s="10"/>
      <c r="I981" s="21" t="b">
        <v>0</v>
      </c>
    </row>
    <row r="982" ht="22.5" customHeight="1">
      <c r="A982" s="10"/>
      <c r="B982" s="31"/>
      <c r="C982" s="41"/>
      <c r="D982" s="9"/>
      <c r="E982" s="10"/>
      <c r="F982" s="10"/>
      <c r="G982" s="9"/>
      <c r="H982" s="10"/>
      <c r="I982" s="21" t="b">
        <v>0</v>
      </c>
    </row>
    <row r="983" ht="22.5" customHeight="1">
      <c r="A983" s="10"/>
      <c r="B983" s="31"/>
      <c r="C983" s="41"/>
      <c r="D983" s="9"/>
      <c r="E983" s="10"/>
      <c r="F983" s="10"/>
      <c r="G983" s="9"/>
      <c r="H983" s="10"/>
      <c r="I983" s="21" t="b">
        <v>0</v>
      </c>
    </row>
    <row r="984" ht="22.5" customHeight="1">
      <c r="A984" s="10"/>
      <c r="B984" s="31"/>
      <c r="C984" s="41"/>
      <c r="D984" s="9"/>
      <c r="E984" s="10"/>
      <c r="F984" s="10"/>
      <c r="G984" s="9"/>
      <c r="H984" s="10"/>
      <c r="I984" s="21" t="b">
        <v>0</v>
      </c>
    </row>
    <row r="985" ht="22.5" customHeight="1">
      <c r="A985" s="10"/>
      <c r="B985" s="31"/>
      <c r="C985" s="41"/>
      <c r="D985" s="9"/>
      <c r="E985" s="10"/>
      <c r="F985" s="10"/>
      <c r="G985" s="9"/>
      <c r="H985" s="10"/>
      <c r="I985" s="21" t="b">
        <v>0</v>
      </c>
    </row>
    <row r="986" ht="22.5" customHeight="1">
      <c r="A986" s="10"/>
      <c r="B986" s="31"/>
      <c r="C986" s="41"/>
      <c r="D986" s="9"/>
      <c r="E986" s="10"/>
      <c r="F986" s="10"/>
      <c r="G986" s="9"/>
      <c r="H986" s="10"/>
      <c r="I986" s="21" t="b">
        <v>0</v>
      </c>
    </row>
    <row r="987" ht="22.5" customHeight="1">
      <c r="A987" s="10"/>
      <c r="B987" s="31"/>
      <c r="C987" s="41"/>
      <c r="D987" s="9"/>
      <c r="E987" s="10"/>
      <c r="F987" s="10"/>
      <c r="G987" s="9"/>
      <c r="H987" s="10"/>
      <c r="I987" s="21" t="b">
        <v>0</v>
      </c>
    </row>
    <row r="988" ht="22.5" customHeight="1">
      <c r="A988" s="10"/>
      <c r="B988" s="31"/>
      <c r="C988" s="41"/>
      <c r="D988" s="9"/>
      <c r="E988" s="10"/>
      <c r="F988" s="10"/>
      <c r="G988" s="9"/>
      <c r="H988" s="10"/>
      <c r="I988" s="21" t="b">
        <v>0</v>
      </c>
    </row>
    <row r="989" ht="22.5" customHeight="1">
      <c r="A989" s="10"/>
      <c r="B989" s="31"/>
      <c r="C989" s="41"/>
      <c r="D989" s="9"/>
      <c r="E989" s="10"/>
      <c r="F989" s="10"/>
      <c r="G989" s="9"/>
      <c r="H989" s="10"/>
      <c r="I989" s="21" t="b">
        <v>0</v>
      </c>
    </row>
    <row r="990" ht="22.5" customHeight="1">
      <c r="A990" s="10"/>
      <c r="B990" s="31"/>
      <c r="C990" s="41"/>
      <c r="D990" s="9"/>
      <c r="E990" s="10"/>
      <c r="F990" s="10"/>
      <c r="G990" s="9"/>
      <c r="H990" s="10"/>
      <c r="I990" s="21" t="b">
        <v>0</v>
      </c>
    </row>
    <row r="991" ht="22.5" customHeight="1">
      <c r="A991" s="10"/>
      <c r="B991" s="31"/>
      <c r="C991" s="41"/>
      <c r="D991" s="9"/>
      <c r="E991" s="10"/>
      <c r="F991" s="10"/>
      <c r="G991" s="9"/>
      <c r="H991" s="10"/>
      <c r="I991" s="21" t="b">
        <v>0</v>
      </c>
    </row>
    <row r="992" ht="22.5" customHeight="1">
      <c r="A992" s="10"/>
      <c r="B992" s="31"/>
      <c r="C992" s="41"/>
      <c r="D992" s="9"/>
      <c r="E992" s="10"/>
      <c r="F992" s="10"/>
      <c r="G992" s="9"/>
      <c r="H992" s="10"/>
      <c r="I992" s="21" t="b">
        <v>0</v>
      </c>
    </row>
    <row r="993" ht="22.5" customHeight="1">
      <c r="A993" s="10"/>
      <c r="B993" s="31"/>
      <c r="C993" s="41"/>
      <c r="D993" s="9"/>
      <c r="E993" s="10"/>
      <c r="F993" s="10"/>
      <c r="G993" s="9"/>
      <c r="H993" s="10"/>
      <c r="I993" s="21" t="b">
        <v>0</v>
      </c>
    </row>
    <row r="994" ht="22.5" customHeight="1">
      <c r="A994" s="10"/>
      <c r="B994" s="31"/>
      <c r="C994" s="41"/>
      <c r="D994" s="9"/>
      <c r="E994" s="10"/>
      <c r="F994" s="10"/>
      <c r="G994" s="9"/>
      <c r="H994" s="10"/>
      <c r="I994" s="21" t="b">
        <v>0</v>
      </c>
    </row>
    <row r="995" ht="22.5" customHeight="1">
      <c r="A995" s="10"/>
      <c r="B995" s="31"/>
      <c r="C995" s="41"/>
      <c r="D995" s="9"/>
      <c r="E995" s="10"/>
      <c r="F995" s="10"/>
      <c r="G995" s="9"/>
      <c r="H995" s="10"/>
      <c r="I995" s="21" t="b">
        <v>0</v>
      </c>
    </row>
    <row r="996" ht="22.5" customHeight="1">
      <c r="A996" s="10"/>
      <c r="B996" s="31"/>
      <c r="C996" s="41"/>
      <c r="D996" s="9"/>
      <c r="E996" s="10"/>
      <c r="F996" s="10"/>
      <c r="G996" s="9"/>
      <c r="H996" s="10"/>
      <c r="I996" s="21" t="b">
        <v>0</v>
      </c>
    </row>
    <row r="997" ht="22.5" customHeight="1">
      <c r="A997" s="10"/>
      <c r="B997" s="31"/>
      <c r="C997" s="41"/>
      <c r="D997" s="9"/>
      <c r="E997" s="10"/>
      <c r="F997" s="10"/>
      <c r="G997" s="9"/>
      <c r="H997" s="10"/>
      <c r="I997" s="21" t="b">
        <v>0</v>
      </c>
    </row>
    <row r="998" ht="22.5" customHeight="1">
      <c r="A998" s="10"/>
      <c r="B998" s="31"/>
      <c r="C998" s="41"/>
      <c r="D998" s="9"/>
      <c r="E998" s="10"/>
      <c r="F998" s="10"/>
      <c r="G998" s="9"/>
      <c r="H998" s="10"/>
      <c r="I998" s="21" t="b">
        <v>0</v>
      </c>
    </row>
    <row r="999" ht="22.5" customHeight="1">
      <c r="A999" s="10"/>
      <c r="B999" s="31"/>
      <c r="C999" s="41"/>
      <c r="D999" s="9"/>
      <c r="E999" s="10"/>
      <c r="F999" s="10"/>
      <c r="G999" s="9"/>
      <c r="H999" s="10"/>
      <c r="I999" s="21" t="b">
        <v>0</v>
      </c>
    </row>
    <row r="1000" ht="22.5" customHeight="1">
      <c r="A1000" s="10"/>
      <c r="B1000" s="31"/>
      <c r="C1000" s="41"/>
      <c r="D1000" s="9"/>
      <c r="E1000" s="10"/>
      <c r="F1000" s="10"/>
      <c r="G1000" s="9"/>
      <c r="H1000" s="10"/>
      <c r="I1000" s="21" t="b">
        <v>0</v>
      </c>
    </row>
    <row r="1001" ht="22.5" customHeight="1">
      <c r="A1001" s="10"/>
      <c r="B1001" s="31"/>
      <c r="C1001" s="41"/>
      <c r="D1001" s="9"/>
      <c r="E1001" s="10"/>
      <c r="F1001" s="10"/>
      <c r="G1001" s="9"/>
      <c r="H1001" s="10"/>
      <c r="I1001" s="21" t="b">
        <v>0</v>
      </c>
    </row>
    <row r="1002" ht="22.5" customHeight="1">
      <c r="A1002" s="10"/>
      <c r="B1002" s="31"/>
      <c r="C1002" s="41"/>
      <c r="D1002" s="9"/>
      <c r="E1002" s="10"/>
      <c r="F1002" s="10"/>
      <c r="G1002" s="9"/>
      <c r="H1002" s="10"/>
      <c r="I1002" s="21" t="b">
        <v>0</v>
      </c>
    </row>
    <row r="1003" ht="22.5" customHeight="1">
      <c r="A1003" s="10"/>
      <c r="B1003" s="31"/>
      <c r="C1003" s="41"/>
      <c r="D1003" s="9"/>
      <c r="E1003" s="10"/>
      <c r="F1003" s="10"/>
      <c r="G1003" s="9"/>
      <c r="H1003" s="10"/>
      <c r="I1003" s="21" t="b">
        <v>0</v>
      </c>
    </row>
  </sheetData>
  <dataValidations>
    <dataValidation type="list" allowBlank="1" sqref="I2:I1003">
      <formula1>"Yes,No"</formula1>
    </dataValidation>
    <dataValidation type="custom" allowBlank="1" showDropDown="1" sqref="B2:B1003">
      <formula1>OR(NOT(ISERROR(DATEVALUE(B2))), AND(ISNUMBER(B2), LEFT(CELL("format", B2))="D"))</formula1>
    </dataValidation>
    <dataValidation type="list" allowBlank="1" sqref="G2:G1003">
      <formula1>"Bank,Cash"</formula1>
    </dataValidation>
    <dataValidation type="list" allowBlank="1" sqref="C2:D1003">
      <formula1>#REF!</formula1>
    </dataValidation>
  </dataValidations>
  <hyperlinks>
    <hyperlink r:id="rId1" location="gid=144341563" ref="J5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31.13"/>
    <col customWidth="1" min="4" max="4" width="9.75"/>
    <col customWidth="1" min="7" max="7" width="17.88"/>
    <col customWidth="1" min="8" max="8" width="15.63"/>
    <col customWidth="1" min="11" max="11" width="17.63"/>
    <col customWidth="1" min="12" max="12" width="12.75"/>
    <col customWidth="1" min="13" max="13" width="16.13"/>
  </cols>
  <sheetData>
    <row r="1" ht="22.5" customHeight="1">
      <c r="A1" s="1" t="s">
        <v>159</v>
      </c>
      <c r="B1" s="1" t="s">
        <v>160</v>
      </c>
      <c r="C1" s="1" t="s">
        <v>161</v>
      </c>
      <c r="D1" s="1" t="s">
        <v>141</v>
      </c>
      <c r="E1" s="1" t="s">
        <v>162</v>
      </c>
      <c r="F1" s="1" t="s">
        <v>101</v>
      </c>
      <c r="G1" s="42" t="s">
        <v>163</v>
      </c>
      <c r="H1" s="42" t="s">
        <v>164</v>
      </c>
      <c r="I1" s="17" t="s">
        <v>165</v>
      </c>
    </row>
    <row r="2" ht="22.5" customHeight="1">
      <c r="A2" s="4" t="s">
        <v>166</v>
      </c>
      <c r="B2" s="4" t="s">
        <v>10</v>
      </c>
      <c r="C2" s="43" t="s">
        <v>167</v>
      </c>
      <c r="D2" s="4" t="s">
        <v>168</v>
      </c>
      <c r="E2" s="4">
        <v>400.0</v>
      </c>
      <c r="F2" s="4">
        <v>120.0</v>
      </c>
      <c r="G2" s="44">
        <v>29474.0</v>
      </c>
      <c r="H2" s="45">
        <v>30000.0</v>
      </c>
      <c r="I2" s="46">
        <f t="shared" ref="I2:I30" si="1">G2-H2</f>
        <v>-526</v>
      </c>
    </row>
    <row r="3" ht="22.5" customHeight="1">
      <c r="A3" s="4" t="s">
        <v>169</v>
      </c>
      <c r="B3" s="4" t="s">
        <v>10</v>
      </c>
      <c r="C3" s="47" t="s">
        <v>170</v>
      </c>
      <c r="G3" s="48">
        <v>281551.97250000003</v>
      </c>
      <c r="H3" s="45">
        <v>295555.0</v>
      </c>
      <c r="I3" s="46">
        <f t="shared" si="1"/>
        <v>-14003.0275</v>
      </c>
    </row>
    <row r="4" ht="22.5" customHeight="1">
      <c r="A4" s="4" t="s">
        <v>171</v>
      </c>
      <c r="B4" s="4" t="s">
        <v>10</v>
      </c>
      <c r="C4" s="49" t="s">
        <v>172</v>
      </c>
      <c r="G4" s="44">
        <v>1662203.3020000006</v>
      </c>
      <c r="H4" s="45">
        <v>1500000.0</v>
      </c>
      <c r="I4" s="46">
        <f t="shared" si="1"/>
        <v>162203.302</v>
      </c>
    </row>
    <row r="5" ht="22.5" customHeight="1">
      <c r="A5" s="4" t="s">
        <v>173</v>
      </c>
      <c r="B5" s="4" t="s">
        <v>10</v>
      </c>
      <c r="C5" s="50" t="s">
        <v>174</v>
      </c>
      <c r="G5" s="48">
        <v>1465972.2560000005</v>
      </c>
      <c r="H5" s="48">
        <v>1465972.2560000005</v>
      </c>
      <c r="I5" s="46">
        <f t="shared" si="1"/>
        <v>0</v>
      </c>
      <c r="K5" s="1" t="s">
        <v>175</v>
      </c>
      <c r="L5" s="1" t="s">
        <v>176</v>
      </c>
      <c r="M5" s="1" t="s">
        <v>177</v>
      </c>
    </row>
    <row r="6" ht="22.5" customHeight="1">
      <c r="A6" s="4" t="s">
        <v>178</v>
      </c>
      <c r="B6" s="4" t="s">
        <v>10</v>
      </c>
      <c r="C6" s="49" t="s">
        <v>179</v>
      </c>
      <c r="G6" s="44">
        <v>3798.16</v>
      </c>
      <c r="H6" s="46">
        <v>3700.843652644917</v>
      </c>
      <c r="I6" s="46">
        <f t="shared" si="1"/>
        <v>97.31634736</v>
      </c>
      <c r="K6" s="51">
        <f>SUM(Budjet[Total (Estimated)])</f>
        <v>8853393.038</v>
      </c>
      <c r="L6" s="52">
        <f>SUM(Budjet[Total (Real)])</f>
        <v>8678212.336</v>
      </c>
      <c r="M6" s="53">
        <f> K6-L6</f>
        <v>175180.7017</v>
      </c>
    </row>
    <row r="7" ht="22.5" customHeight="1">
      <c r="A7" s="4" t="s">
        <v>180</v>
      </c>
      <c r="B7" s="4" t="s">
        <v>10</v>
      </c>
      <c r="C7" s="50" t="s">
        <v>181</v>
      </c>
      <c r="G7" s="48">
        <v>887552.60764</v>
      </c>
      <c r="H7" s="46">
        <v>876679.4580521525</v>
      </c>
      <c r="I7" s="46">
        <f t="shared" si="1"/>
        <v>10873.14959</v>
      </c>
    </row>
    <row r="8" ht="22.5" customHeight="1">
      <c r="A8" s="4" t="s">
        <v>182</v>
      </c>
      <c r="B8" s="4" t="s">
        <v>10</v>
      </c>
      <c r="C8" s="49" t="s">
        <v>183</v>
      </c>
      <c r="G8" s="44">
        <v>462255.9408</v>
      </c>
      <c r="H8" s="46">
        <v>443925.5644044285</v>
      </c>
      <c r="I8" s="46">
        <f t="shared" si="1"/>
        <v>18330.3764</v>
      </c>
    </row>
    <row r="9" ht="22.5" customHeight="1">
      <c r="A9" s="4" t="s">
        <v>184</v>
      </c>
      <c r="B9" s="4" t="s">
        <v>10</v>
      </c>
      <c r="C9" s="50" t="s">
        <v>185</v>
      </c>
      <c r="G9" s="48">
        <v>372880.0</v>
      </c>
      <c r="H9" s="46">
        <v>373892.16472525004</v>
      </c>
      <c r="I9" s="46">
        <f t="shared" si="1"/>
        <v>-1012.164725</v>
      </c>
    </row>
    <row r="10" ht="22.5" customHeight="1">
      <c r="A10" s="4" t="s">
        <v>186</v>
      </c>
      <c r="B10" s="4" t="s">
        <v>10</v>
      </c>
      <c r="C10" s="49" t="s">
        <v>187</v>
      </c>
      <c r="G10" s="44">
        <v>505675.0</v>
      </c>
      <c r="H10" s="46">
        <v>489000.73692955694</v>
      </c>
      <c r="I10" s="46">
        <f t="shared" si="1"/>
        <v>16674.26307</v>
      </c>
    </row>
    <row r="11" ht="22.5" customHeight="1">
      <c r="A11" s="4" t="s">
        <v>188</v>
      </c>
      <c r="B11" s="4" t="s">
        <v>10</v>
      </c>
      <c r="C11" s="50" t="s">
        <v>189</v>
      </c>
      <c r="G11" s="48">
        <v>84100.0</v>
      </c>
      <c r="H11" s="46">
        <v>84683.4745628795</v>
      </c>
      <c r="I11" s="46">
        <f t="shared" si="1"/>
        <v>-583.4745629</v>
      </c>
    </row>
    <row r="12" ht="22.5" customHeight="1">
      <c r="A12" s="4" t="s">
        <v>190</v>
      </c>
      <c r="B12" s="4" t="s">
        <v>10</v>
      </c>
      <c r="C12" s="49" t="s">
        <v>191</v>
      </c>
      <c r="G12" s="44">
        <v>56612.5</v>
      </c>
      <c r="H12" s="46">
        <v>55542.43350149733</v>
      </c>
      <c r="I12" s="46">
        <f t="shared" si="1"/>
        <v>1070.066499</v>
      </c>
    </row>
    <row r="13" ht="22.5" customHeight="1">
      <c r="A13" s="4" t="s">
        <v>192</v>
      </c>
      <c r="B13" s="4" t="s">
        <v>10</v>
      </c>
      <c r="C13" s="50" t="s">
        <v>193</v>
      </c>
      <c r="G13" s="48">
        <v>366640.0</v>
      </c>
      <c r="H13" s="46">
        <v>371751.52733382635</v>
      </c>
      <c r="I13" s="46">
        <f t="shared" si="1"/>
        <v>-5111.527334</v>
      </c>
    </row>
    <row r="14" ht="22.5" customHeight="1">
      <c r="A14" s="4" t="s">
        <v>194</v>
      </c>
      <c r="B14" s="4" t="s">
        <v>10</v>
      </c>
      <c r="C14" s="49" t="s">
        <v>195</v>
      </c>
      <c r="G14" s="44">
        <v>162493.0</v>
      </c>
      <c r="H14" s="46">
        <v>165943.36035876258</v>
      </c>
      <c r="I14" s="46">
        <f t="shared" si="1"/>
        <v>-3450.360359</v>
      </c>
    </row>
    <row r="15" ht="22.5" customHeight="1">
      <c r="A15" s="4" t="s">
        <v>196</v>
      </c>
      <c r="B15" s="4" t="s">
        <v>10</v>
      </c>
      <c r="C15" s="50" t="s">
        <v>197</v>
      </c>
      <c r="G15" s="48">
        <v>103905.01349999997</v>
      </c>
      <c r="H15" s="46">
        <v>102646.12883645897</v>
      </c>
      <c r="I15" s="46">
        <f t="shared" si="1"/>
        <v>1258.884664</v>
      </c>
    </row>
    <row r="16" ht="22.5" customHeight="1">
      <c r="A16" s="4" t="s">
        <v>198</v>
      </c>
      <c r="B16" s="4" t="s">
        <v>10</v>
      </c>
      <c r="C16" s="49" t="s">
        <v>199</v>
      </c>
      <c r="G16" s="44">
        <v>133551.86700000003</v>
      </c>
      <c r="H16" s="46">
        <v>132582.17269039538</v>
      </c>
      <c r="I16" s="46">
        <f t="shared" si="1"/>
        <v>969.6943096</v>
      </c>
    </row>
    <row r="17" ht="22.5" customHeight="1">
      <c r="A17" s="4" t="s">
        <v>200</v>
      </c>
      <c r="B17" s="4" t="s">
        <v>10</v>
      </c>
      <c r="C17" s="50" t="s">
        <v>201</v>
      </c>
      <c r="G17" s="48">
        <v>289779.3</v>
      </c>
      <c r="H17" s="46">
        <v>303043.78918363363</v>
      </c>
      <c r="I17" s="46">
        <f t="shared" si="1"/>
        <v>-13264.48918</v>
      </c>
    </row>
    <row r="18" ht="22.5" customHeight="1">
      <c r="A18" s="4" t="s">
        <v>202</v>
      </c>
      <c r="B18" s="4" t="s">
        <v>10</v>
      </c>
      <c r="C18" s="49" t="s">
        <v>203</v>
      </c>
      <c r="G18" s="44">
        <v>282510.9424</v>
      </c>
      <c r="H18" s="46">
        <v>276265.688059886</v>
      </c>
      <c r="I18" s="46">
        <f t="shared" si="1"/>
        <v>6245.25434</v>
      </c>
    </row>
    <row r="19" ht="22.5" customHeight="1">
      <c r="A19" s="4" t="s">
        <v>204</v>
      </c>
      <c r="B19" s="4" t="s">
        <v>10</v>
      </c>
      <c r="C19" s="50" t="s">
        <v>205</v>
      </c>
      <c r="G19" s="48">
        <v>120000.0</v>
      </c>
      <c r="H19" s="46">
        <v>118091.570053012</v>
      </c>
      <c r="I19" s="46">
        <f t="shared" si="1"/>
        <v>1908.429947</v>
      </c>
    </row>
    <row r="20" ht="22.5" customHeight="1">
      <c r="A20" s="4" t="s">
        <v>206</v>
      </c>
      <c r="B20" s="4" t="s">
        <v>10</v>
      </c>
      <c r="C20" s="49" t="s">
        <v>207</v>
      </c>
      <c r="G20" s="44">
        <v>13323.0</v>
      </c>
      <c r="H20" s="46">
        <v>13708.320098644332</v>
      </c>
      <c r="I20" s="46">
        <f t="shared" si="1"/>
        <v>-385.3200986</v>
      </c>
    </row>
    <row r="21" ht="22.5" customHeight="1">
      <c r="A21" s="4" t="s">
        <v>208</v>
      </c>
      <c r="B21" s="4" t="s">
        <v>10</v>
      </c>
      <c r="C21" s="50" t="s">
        <v>209</v>
      </c>
      <c r="G21" s="48">
        <v>15475.0</v>
      </c>
      <c r="H21" s="46">
        <v>15421.567832229293</v>
      </c>
      <c r="I21" s="46">
        <f t="shared" si="1"/>
        <v>53.43216777</v>
      </c>
    </row>
    <row r="22" ht="22.5" customHeight="1">
      <c r="A22" s="4" t="s">
        <v>210</v>
      </c>
      <c r="B22" s="4" t="s">
        <v>10</v>
      </c>
      <c r="C22" s="49" t="s">
        <v>211</v>
      </c>
      <c r="G22" s="44">
        <v>398324.75</v>
      </c>
      <c r="H22" s="46">
        <v>382731.55856662866</v>
      </c>
      <c r="I22" s="46">
        <f t="shared" si="1"/>
        <v>15593.19143</v>
      </c>
    </row>
    <row r="23" ht="22.5" customHeight="1">
      <c r="A23" s="4" t="s">
        <v>212</v>
      </c>
      <c r="B23" s="4" t="s">
        <v>10</v>
      </c>
      <c r="C23" s="50" t="s">
        <v>213</v>
      </c>
      <c r="G23" s="48">
        <v>607493.3200000001</v>
      </c>
      <c r="H23" s="46">
        <v>617661.0485616394</v>
      </c>
      <c r="I23" s="46">
        <f t="shared" si="1"/>
        <v>-10167.72856</v>
      </c>
    </row>
    <row r="24" ht="22.5" customHeight="1">
      <c r="A24" s="4" t="s">
        <v>214</v>
      </c>
      <c r="B24" s="4" t="s">
        <v>10</v>
      </c>
      <c r="C24" s="49" t="s">
        <v>215</v>
      </c>
      <c r="G24" s="44">
        <v>27713.600000000002</v>
      </c>
      <c r="H24" s="46">
        <v>28098.17139592713</v>
      </c>
      <c r="I24" s="46">
        <f t="shared" si="1"/>
        <v>-384.5713959</v>
      </c>
    </row>
    <row r="25" ht="22.5" customHeight="1">
      <c r="A25" s="4" t="s">
        <v>216</v>
      </c>
      <c r="B25" s="4" t="s">
        <v>10</v>
      </c>
      <c r="C25" s="50" t="s">
        <v>217</v>
      </c>
      <c r="G25" s="48">
        <v>121212.0</v>
      </c>
      <c r="H25" s="46">
        <v>122412.68384675735</v>
      </c>
      <c r="I25" s="46">
        <f t="shared" si="1"/>
        <v>-1200.683847</v>
      </c>
    </row>
    <row r="26" ht="22.5" customHeight="1">
      <c r="A26" s="4" t="s">
        <v>218</v>
      </c>
      <c r="B26" s="4" t="s">
        <v>10</v>
      </c>
      <c r="C26" s="49" t="s">
        <v>219</v>
      </c>
      <c r="G26" s="44">
        <v>84808.0</v>
      </c>
      <c r="H26" s="46">
        <v>87417.37423998838</v>
      </c>
      <c r="I26" s="46">
        <f t="shared" si="1"/>
        <v>-2609.37424</v>
      </c>
    </row>
    <row r="27" ht="22.5" customHeight="1">
      <c r="A27" s="4" t="s">
        <v>220</v>
      </c>
      <c r="B27" s="4" t="s">
        <v>10</v>
      </c>
      <c r="C27" s="50" t="s">
        <v>221</v>
      </c>
      <c r="G27" s="48">
        <v>38686.74600000001</v>
      </c>
      <c r="H27" s="46">
        <v>37570.821712884455</v>
      </c>
      <c r="I27" s="46">
        <f t="shared" si="1"/>
        <v>1115.924287</v>
      </c>
    </row>
    <row r="28" ht="22.5" customHeight="1">
      <c r="A28" s="4" t="s">
        <v>222</v>
      </c>
      <c r="B28" s="4" t="s">
        <v>10</v>
      </c>
      <c r="C28" s="49" t="s">
        <v>223</v>
      </c>
      <c r="D28" s="10"/>
      <c r="E28" s="10"/>
      <c r="F28" s="10"/>
      <c r="G28" s="44">
        <v>4589.2</v>
      </c>
      <c r="H28" s="46">
        <v>4805.851811547983</v>
      </c>
      <c r="I28" s="46">
        <f t="shared" si="1"/>
        <v>-216.6518115</v>
      </c>
    </row>
    <row r="29" ht="22.5" customHeight="1">
      <c r="A29" s="4" t="s">
        <v>224</v>
      </c>
      <c r="B29" s="4" t="s">
        <v>10</v>
      </c>
      <c r="C29" s="50" t="s">
        <v>225</v>
      </c>
      <c r="D29" s="10"/>
      <c r="E29" s="10"/>
      <c r="F29" s="10"/>
      <c r="G29" s="48">
        <v>258478.56</v>
      </c>
      <c r="H29" s="46">
        <v>267025.868636086</v>
      </c>
      <c r="I29" s="46">
        <f t="shared" si="1"/>
        <v>-8547.308636</v>
      </c>
    </row>
    <row r="30" ht="22.5" customHeight="1">
      <c r="A30" s="4" t="s">
        <v>226</v>
      </c>
      <c r="B30" s="4" t="s">
        <v>10</v>
      </c>
      <c r="C30" s="49" t="s">
        <v>227</v>
      </c>
      <c r="D30" s="10"/>
      <c r="E30" s="10"/>
      <c r="F30" s="10"/>
      <c r="G30" s="44">
        <v>12333.0</v>
      </c>
      <c r="H30" s="46">
        <v>12082.901077003457</v>
      </c>
      <c r="I30" s="46">
        <f t="shared" si="1"/>
        <v>250.098923</v>
      </c>
    </row>
    <row r="31" ht="22.5" customHeight="1">
      <c r="A31" s="10"/>
      <c r="B31" s="10"/>
      <c r="C31" s="54"/>
      <c r="D31" s="10"/>
      <c r="E31" s="10"/>
      <c r="F31" s="10"/>
    </row>
    <row r="32">
      <c r="G32" s="55"/>
      <c r="H32" s="55"/>
    </row>
    <row r="33">
      <c r="G33" s="55"/>
      <c r="H33" s="55"/>
    </row>
    <row r="34">
      <c r="G34" s="55"/>
      <c r="H34" s="55"/>
    </row>
    <row r="35">
      <c r="G35" s="55"/>
      <c r="H35" s="55"/>
    </row>
    <row r="36">
      <c r="G36" s="55"/>
      <c r="H36" s="55"/>
    </row>
    <row r="37">
      <c r="G37" s="55"/>
      <c r="H37" s="55"/>
    </row>
    <row r="38">
      <c r="G38" s="55"/>
      <c r="H38" s="55"/>
    </row>
    <row r="39">
      <c r="G39" s="55"/>
      <c r="H39" s="55"/>
    </row>
    <row r="40">
      <c r="G40" s="55"/>
      <c r="H40" s="55"/>
    </row>
    <row r="41">
      <c r="G41" s="55"/>
      <c r="H41" s="55"/>
    </row>
    <row r="42">
      <c r="G42" s="55"/>
      <c r="H42" s="55"/>
    </row>
    <row r="43">
      <c r="G43" s="55"/>
      <c r="H43" s="55"/>
    </row>
    <row r="44">
      <c r="G44" s="55"/>
      <c r="H44" s="55"/>
    </row>
    <row r="45">
      <c r="G45" s="55"/>
      <c r="H45" s="55"/>
    </row>
    <row r="46">
      <c r="G46" s="55"/>
      <c r="H46" s="55"/>
    </row>
    <row r="47">
      <c r="G47" s="55"/>
      <c r="H47" s="55"/>
    </row>
    <row r="48">
      <c r="G48" s="55"/>
      <c r="H48" s="55"/>
    </row>
    <row r="49">
      <c r="G49" s="55"/>
      <c r="H49" s="55"/>
    </row>
    <row r="50">
      <c r="G50" s="55"/>
      <c r="H50" s="55"/>
    </row>
    <row r="51">
      <c r="G51" s="55"/>
      <c r="H51" s="55"/>
    </row>
    <row r="52">
      <c r="G52" s="55"/>
      <c r="H52" s="55"/>
    </row>
    <row r="53">
      <c r="G53" s="55"/>
      <c r="H53" s="55"/>
    </row>
    <row r="54">
      <c r="G54" s="55"/>
      <c r="H54" s="55"/>
    </row>
    <row r="55">
      <c r="G55" s="55"/>
      <c r="H55" s="55"/>
    </row>
    <row r="56">
      <c r="G56" s="55"/>
      <c r="H56" s="55"/>
    </row>
    <row r="57">
      <c r="G57" s="55"/>
      <c r="H57" s="55"/>
    </row>
    <row r="58">
      <c r="G58" s="55"/>
      <c r="H58" s="55"/>
    </row>
    <row r="59">
      <c r="G59" s="55"/>
      <c r="H59" s="55"/>
    </row>
    <row r="60">
      <c r="G60" s="55"/>
      <c r="H60" s="55"/>
    </row>
    <row r="61">
      <c r="G61" s="55"/>
      <c r="H61" s="55"/>
    </row>
    <row r="62">
      <c r="G62" s="55"/>
      <c r="H62" s="55"/>
    </row>
    <row r="63">
      <c r="G63" s="55"/>
      <c r="H63" s="55"/>
    </row>
    <row r="64">
      <c r="G64" s="55"/>
      <c r="H64" s="55"/>
    </row>
    <row r="65">
      <c r="G65" s="55"/>
      <c r="H65" s="55"/>
    </row>
    <row r="66">
      <c r="G66" s="55"/>
      <c r="H66" s="55"/>
    </row>
    <row r="67">
      <c r="G67" s="55"/>
      <c r="H67" s="55"/>
    </row>
    <row r="68">
      <c r="G68" s="55"/>
      <c r="H68" s="55"/>
    </row>
    <row r="69">
      <c r="G69" s="55"/>
      <c r="H69" s="55"/>
    </row>
    <row r="70">
      <c r="G70" s="55"/>
      <c r="H70" s="55"/>
    </row>
    <row r="71">
      <c r="G71" s="55"/>
      <c r="H71" s="55"/>
    </row>
    <row r="72">
      <c r="G72" s="55"/>
      <c r="H72" s="55"/>
    </row>
    <row r="73">
      <c r="G73" s="55"/>
      <c r="H73" s="55"/>
    </row>
    <row r="74">
      <c r="G74" s="55"/>
      <c r="H74" s="55"/>
    </row>
    <row r="75">
      <c r="G75" s="55"/>
      <c r="H75" s="55"/>
    </row>
    <row r="76">
      <c r="G76" s="55"/>
      <c r="H76" s="55"/>
    </row>
    <row r="77">
      <c r="G77" s="55"/>
      <c r="H77" s="55"/>
    </row>
    <row r="78">
      <c r="G78" s="55"/>
      <c r="H78" s="55"/>
    </row>
    <row r="79">
      <c r="G79" s="55"/>
      <c r="H79" s="55"/>
    </row>
    <row r="80">
      <c r="G80" s="55"/>
      <c r="H80" s="55"/>
    </row>
    <row r="81">
      <c r="G81" s="55"/>
      <c r="H81" s="55"/>
    </row>
    <row r="82">
      <c r="G82" s="55"/>
      <c r="H82" s="55"/>
    </row>
    <row r="83">
      <c r="G83" s="55"/>
      <c r="H83" s="55"/>
    </row>
    <row r="84">
      <c r="G84" s="55"/>
      <c r="H84" s="55"/>
    </row>
    <row r="85">
      <c r="G85" s="55"/>
      <c r="H85" s="55"/>
    </row>
    <row r="86">
      <c r="G86" s="55"/>
      <c r="H86" s="55"/>
    </row>
    <row r="87">
      <c r="G87" s="55"/>
      <c r="H87" s="55"/>
    </row>
    <row r="88">
      <c r="G88" s="55"/>
      <c r="H88" s="55"/>
    </row>
    <row r="89">
      <c r="G89" s="55"/>
      <c r="H89" s="55"/>
    </row>
    <row r="90">
      <c r="G90" s="55"/>
      <c r="H90" s="55"/>
    </row>
    <row r="91">
      <c r="G91" s="55"/>
      <c r="H91" s="55"/>
    </row>
    <row r="92">
      <c r="G92" s="55"/>
      <c r="H92" s="55"/>
    </row>
    <row r="93">
      <c r="G93" s="55"/>
      <c r="H93" s="55"/>
    </row>
    <row r="94">
      <c r="G94" s="55"/>
      <c r="H94" s="55"/>
    </row>
    <row r="95">
      <c r="G95" s="55"/>
      <c r="H95" s="55"/>
    </row>
    <row r="96">
      <c r="G96" s="55"/>
      <c r="H96" s="55"/>
    </row>
    <row r="97">
      <c r="G97" s="55"/>
      <c r="H97" s="55"/>
    </row>
    <row r="98">
      <c r="G98" s="55"/>
      <c r="H98" s="55"/>
    </row>
    <row r="99">
      <c r="G99" s="55"/>
      <c r="H99" s="55"/>
    </row>
    <row r="100">
      <c r="G100" s="55"/>
      <c r="H100" s="55"/>
    </row>
    <row r="101">
      <c r="G101" s="55"/>
      <c r="H101" s="55"/>
    </row>
    <row r="102">
      <c r="G102" s="55"/>
      <c r="H102" s="55"/>
    </row>
    <row r="103">
      <c r="G103" s="55"/>
      <c r="H103" s="55"/>
    </row>
    <row r="104">
      <c r="G104" s="55"/>
      <c r="H104" s="55"/>
    </row>
    <row r="105">
      <c r="G105" s="55"/>
      <c r="H105" s="55"/>
    </row>
    <row r="106">
      <c r="G106" s="55"/>
      <c r="H106" s="55"/>
    </row>
    <row r="107">
      <c r="G107" s="55"/>
      <c r="H107" s="55"/>
    </row>
    <row r="108">
      <c r="G108" s="55"/>
      <c r="H108" s="55"/>
    </row>
    <row r="109">
      <c r="G109" s="55"/>
      <c r="H109" s="55"/>
    </row>
    <row r="110">
      <c r="G110" s="55"/>
      <c r="H110" s="55"/>
    </row>
    <row r="111">
      <c r="G111" s="55"/>
      <c r="H111" s="55"/>
    </row>
    <row r="112">
      <c r="G112" s="55"/>
      <c r="H112" s="55"/>
    </row>
    <row r="113">
      <c r="G113" s="55"/>
      <c r="H113" s="55"/>
    </row>
    <row r="114">
      <c r="G114" s="55"/>
      <c r="H114" s="55"/>
    </row>
    <row r="115">
      <c r="G115" s="55"/>
      <c r="H115" s="55"/>
    </row>
    <row r="116">
      <c r="G116" s="55"/>
      <c r="H116" s="55"/>
    </row>
    <row r="117">
      <c r="G117" s="55"/>
      <c r="H117" s="55"/>
    </row>
    <row r="118">
      <c r="G118" s="55"/>
      <c r="H118" s="55"/>
    </row>
    <row r="119">
      <c r="G119" s="55"/>
      <c r="H119" s="55"/>
    </row>
    <row r="120">
      <c r="G120" s="55"/>
      <c r="H120" s="55"/>
    </row>
    <row r="121">
      <c r="G121" s="55"/>
      <c r="H121" s="55"/>
    </row>
    <row r="122">
      <c r="G122" s="55"/>
      <c r="H122" s="55"/>
    </row>
    <row r="123">
      <c r="G123" s="55"/>
      <c r="H123" s="55"/>
    </row>
    <row r="124">
      <c r="G124" s="55"/>
      <c r="H124" s="55"/>
    </row>
    <row r="125">
      <c r="G125" s="55"/>
      <c r="H125" s="55"/>
    </row>
    <row r="126">
      <c r="G126" s="55"/>
      <c r="H126" s="55"/>
    </row>
    <row r="127">
      <c r="G127" s="55"/>
      <c r="H127" s="55"/>
    </row>
    <row r="128">
      <c r="G128" s="55"/>
      <c r="H128" s="55"/>
    </row>
    <row r="129">
      <c r="G129" s="55"/>
      <c r="H129" s="55"/>
    </row>
    <row r="130">
      <c r="G130" s="55"/>
      <c r="H130" s="55"/>
    </row>
    <row r="131">
      <c r="G131" s="55"/>
      <c r="H131" s="55"/>
    </row>
    <row r="132">
      <c r="G132" s="55"/>
      <c r="H132" s="55"/>
    </row>
    <row r="133">
      <c r="G133" s="55"/>
      <c r="H133" s="55"/>
    </row>
    <row r="134">
      <c r="G134" s="55"/>
      <c r="H134" s="55"/>
    </row>
    <row r="135">
      <c r="G135" s="55"/>
      <c r="H135" s="55"/>
    </row>
    <row r="136">
      <c r="G136" s="55"/>
      <c r="H136" s="55"/>
    </row>
    <row r="137">
      <c r="G137" s="55"/>
      <c r="H137" s="55"/>
    </row>
    <row r="138">
      <c r="G138" s="55"/>
      <c r="H138" s="55"/>
    </row>
    <row r="139">
      <c r="G139" s="55"/>
      <c r="H139" s="55"/>
    </row>
    <row r="140">
      <c r="G140" s="55"/>
      <c r="H140" s="55"/>
    </row>
    <row r="141">
      <c r="G141" s="55"/>
      <c r="H141" s="55"/>
    </row>
    <row r="142">
      <c r="G142" s="55"/>
      <c r="H142" s="55"/>
    </row>
    <row r="143">
      <c r="G143" s="55"/>
      <c r="H143" s="55"/>
    </row>
    <row r="144">
      <c r="G144" s="55"/>
      <c r="H144" s="55"/>
    </row>
    <row r="145">
      <c r="G145" s="55"/>
      <c r="H145" s="55"/>
    </row>
    <row r="146">
      <c r="G146" s="55"/>
      <c r="H146" s="55"/>
    </row>
    <row r="147">
      <c r="G147" s="55"/>
      <c r="H147" s="55"/>
    </row>
    <row r="148">
      <c r="G148" s="55"/>
      <c r="H148" s="55"/>
    </row>
    <row r="149">
      <c r="G149" s="55"/>
      <c r="H149" s="55"/>
    </row>
    <row r="150">
      <c r="G150" s="55"/>
      <c r="H150" s="55"/>
    </row>
    <row r="151">
      <c r="G151" s="55"/>
      <c r="H151" s="55"/>
    </row>
    <row r="152">
      <c r="G152" s="55"/>
      <c r="H152" s="55"/>
    </row>
    <row r="153">
      <c r="G153" s="55"/>
      <c r="H153" s="55"/>
    </row>
    <row r="154">
      <c r="G154" s="55"/>
      <c r="H154" s="55"/>
    </row>
    <row r="155">
      <c r="G155" s="55"/>
      <c r="H155" s="55"/>
    </row>
    <row r="156">
      <c r="G156" s="55"/>
      <c r="H156" s="55"/>
    </row>
    <row r="157">
      <c r="G157" s="55"/>
      <c r="H157" s="55"/>
    </row>
    <row r="158">
      <c r="G158" s="55"/>
      <c r="H158" s="55"/>
    </row>
    <row r="159">
      <c r="G159" s="55"/>
      <c r="H159" s="55"/>
    </row>
    <row r="160">
      <c r="G160" s="55"/>
      <c r="H160" s="55"/>
    </row>
    <row r="161">
      <c r="G161" s="55"/>
      <c r="H161" s="55"/>
    </row>
    <row r="162">
      <c r="G162" s="55"/>
      <c r="H162" s="55"/>
    </row>
    <row r="163">
      <c r="G163" s="55"/>
      <c r="H163" s="55"/>
    </row>
    <row r="164">
      <c r="G164" s="55"/>
      <c r="H164" s="55"/>
    </row>
    <row r="165">
      <c r="G165" s="55"/>
      <c r="H165" s="55"/>
    </row>
    <row r="166">
      <c r="G166" s="55"/>
      <c r="H166" s="55"/>
    </row>
    <row r="167">
      <c r="G167" s="55"/>
      <c r="H167" s="55"/>
    </row>
    <row r="168">
      <c r="G168" s="55"/>
      <c r="H168" s="55"/>
    </row>
    <row r="169">
      <c r="G169" s="55"/>
      <c r="H169" s="55"/>
    </row>
    <row r="170">
      <c r="G170" s="55"/>
      <c r="H170" s="55"/>
    </row>
    <row r="171">
      <c r="G171" s="55"/>
      <c r="H171" s="55"/>
    </row>
    <row r="172">
      <c r="G172" s="55"/>
      <c r="H172" s="55"/>
    </row>
    <row r="173">
      <c r="G173" s="55"/>
      <c r="H173" s="55"/>
    </row>
    <row r="174">
      <c r="G174" s="55"/>
      <c r="H174" s="55"/>
    </row>
    <row r="175">
      <c r="G175" s="55"/>
      <c r="H175" s="55"/>
    </row>
    <row r="176">
      <c r="G176" s="55"/>
      <c r="H176" s="55"/>
    </row>
    <row r="177">
      <c r="G177" s="55"/>
      <c r="H177" s="55"/>
    </row>
    <row r="178">
      <c r="G178" s="55"/>
      <c r="H178" s="55"/>
    </row>
    <row r="179">
      <c r="G179" s="55"/>
      <c r="H179" s="55"/>
    </row>
    <row r="180">
      <c r="G180" s="55"/>
      <c r="H180" s="55"/>
    </row>
    <row r="181">
      <c r="G181" s="55"/>
      <c r="H181" s="55"/>
    </row>
    <row r="182">
      <c r="G182" s="55"/>
      <c r="H182" s="55"/>
    </row>
    <row r="183">
      <c r="G183" s="55"/>
      <c r="H183" s="55"/>
    </row>
    <row r="184">
      <c r="G184" s="55"/>
      <c r="H184" s="55"/>
    </row>
    <row r="185">
      <c r="G185" s="55"/>
      <c r="H185" s="55"/>
    </row>
    <row r="186">
      <c r="G186" s="55"/>
      <c r="H186" s="55"/>
    </row>
    <row r="187">
      <c r="G187" s="55"/>
      <c r="H187" s="55"/>
    </row>
    <row r="188">
      <c r="G188" s="55"/>
      <c r="H188" s="55"/>
    </row>
    <row r="189">
      <c r="G189" s="55"/>
      <c r="H189" s="55"/>
    </row>
    <row r="190">
      <c r="G190" s="55"/>
      <c r="H190" s="55"/>
    </row>
    <row r="191">
      <c r="G191" s="55"/>
      <c r="H191" s="55"/>
    </row>
    <row r="192">
      <c r="G192" s="55"/>
      <c r="H192" s="55"/>
    </row>
    <row r="193">
      <c r="G193" s="55"/>
      <c r="H193" s="55"/>
    </row>
    <row r="194">
      <c r="G194" s="55"/>
      <c r="H194" s="55"/>
    </row>
    <row r="195">
      <c r="G195" s="55"/>
      <c r="H195" s="55"/>
    </row>
    <row r="196">
      <c r="G196" s="55"/>
      <c r="H196" s="55"/>
    </row>
    <row r="197">
      <c r="G197" s="55"/>
      <c r="H197" s="55"/>
    </row>
    <row r="198">
      <c r="G198" s="55"/>
      <c r="H198" s="55"/>
    </row>
    <row r="199">
      <c r="G199" s="55"/>
      <c r="H199" s="55"/>
    </row>
    <row r="200">
      <c r="G200" s="55"/>
      <c r="H200" s="55"/>
    </row>
    <row r="201">
      <c r="G201" s="55"/>
      <c r="H201" s="55"/>
    </row>
    <row r="202">
      <c r="G202" s="55"/>
      <c r="H202" s="55"/>
    </row>
    <row r="203">
      <c r="G203" s="55"/>
      <c r="H203" s="55"/>
    </row>
    <row r="204">
      <c r="G204" s="55"/>
      <c r="H204" s="55"/>
    </row>
    <row r="205">
      <c r="G205" s="55"/>
      <c r="H205" s="55"/>
    </row>
    <row r="206">
      <c r="G206" s="55"/>
      <c r="H206" s="55"/>
    </row>
    <row r="207">
      <c r="G207" s="55"/>
      <c r="H207" s="55"/>
    </row>
    <row r="208">
      <c r="G208" s="55"/>
      <c r="H208" s="55"/>
    </row>
    <row r="209">
      <c r="G209" s="55"/>
      <c r="H209" s="55"/>
    </row>
    <row r="210">
      <c r="G210" s="55"/>
      <c r="H210" s="55"/>
    </row>
    <row r="211">
      <c r="G211" s="55"/>
      <c r="H211" s="55"/>
    </row>
    <row r="212">
      <c r="G212" s="55"/>
      <c r="H212" s="55"/>
    </row>
    <row r="213">
      <c r="G213" s="55"/>
      <c r="H213" s="55"/>
    </row>
    <row r="214">
      <c r="G214" s="55"/>
      <c r="H214" s="55"/>
    </row>
    <row r="215">
      <c r="G215" s="55"/>
      <c r="H215" s="55"/>
    </row>
    <row r="216">
      <c r="G216" s="55"/>
      <c r="H216" s="55"/>
    </row>
    <row r="217">
      <c r="G217" s="55"/>
      <c r="H217" s="55"/>
    </row>
    <row r="218">
      <c r="G218" s="55"/>
      <c r="H218" s="55"/>
    </row>
    <row r="219">
      <c r="G219" s="55"/>
      <c r="H219" s="55"/>
    </row>
    <row r="220">
      <c r="G220" s="55"/>
      <c r="H220" s="55"/>
    </row>
    <row r="221">
      <c r="G221" s="55"/>
      <c r="H221" s="55"/>
    </row>
    <row r="222">
      <c r="G222" s="55"/>
      <c r="H222" s="55"/>
    </row>
    <row r="223">
      <c r="G223" s="55"/>
      <c r="H223" s="55"/>
    </row>
    <row r="224">
      <c r="G224" s="55"/>
      <c r="H224" s="55"/>
    </row>
    <row r="225">
      <c r="G225" s="55"/>
      <c r="H225" s="55"/>
    </row>
    <row r="226">
      <c r="G226" s="55"/>
      <c r="H226" s="55"/>
    </row>
    <row r="227">
      <c r="G227" s="55"/>
      <c r="H227" s="55"/>
    </row>
    <row r="228">
      <c r="G228" s="55"/>
      <c r="H228" s="55"/>
    </row>
    <row r="229">
      <c r="G229" s="55"/>
      <c r="H229" s="55"/>
    </row>
    <row r="230">
      <c r="G230" s="55"/>
      <c r="H230" s="55"/>
    </row>
    <row r="231">
      <c r="G231" s="55"/>
      <c r="H231" s="55"/>
    </row>
    <row r="232">
      <c r="G232" s="55"/>
      <c r="H232" s="55"/>
    </row>
    <row r="233">
      <c r="G233" s="55"/>
      <c r="H233" s="55"/>
    </row>
    <row r="234">
      <c r="G234" s="55"/>
      <c r="H234" s="55"/>
    </row>
    <row r="235">
      <c r="G235" s="55"/>
      <c r="H235" s="55"/>
    </row>
    <row r="236">
      <c r="G236" s="55"/>
      <c r="H236" s="55"/>
    </row>
    <row r="237">
      <c r="G237" s="55"/>
      <c r="H237" s="55"/>
    </row>
    <row r="238">
      <c r="G238" s="55"/>
      <c r="H238" s="55"/>
    </row>
    <row r="239">
      <c r="G239" s="55"/>
      <c r="H239" s="55"/>
    </row>
    <row r="240">
      <c r="G240" s="55"/>
      <c r="H240" s="55"/>
    </row>
    <row r="241">
      <c r="G241" s="55"/>
      <c r="H241" s="55"/>
    </row>
    <row r="242">
      <c r="G242" s="55"/>
      <c r="H242" s="55"/>
    </row>
    <row r="243">
      <c r="G243" s="55"/>
      <c r="H243" s="55"/>
    </row>
    <row r="244">
      <c r="G244" s="55"/>
      <c r="H244" s="55"/>
    </row>
    <row r="245">
      <c r="G245" s="55"/>
      <c r="H245" s="55"/>
    </row>
    <row r="246">
      <c r="G246" s="55"/>
      <c r="H246" s="55"/>
    </row>
    <row r="247">
      <c r="G247" s="55"/>
      <c r="H247" s="55"/>
    </row>
    <row r="248">
      <c r="G248" s="55"/>
      <c r="H248" s="55"/>
    </row>
    <row r="249">
      <c r="G249" s="55"/>
      <c r="H249" s="55"/>
    </row>
    <row r="250">
      <c r="G250" s="55"/>
      <c r="H250" s="55"/>
    </row>
    <row r="251">
      <c r="G251" s="55"/>
      <c r="H251" s="55"/>
    </row>
    <row r="252">
      <c r="G252" s="55"/>
      <c r="H252" s="55"/>
    </row>
    <row r="253">
      <c r="G253" s="55"/>
      <c r="H253" s="55"/>
    </row>
    <row r="254">
      <c r="G254" s="55"/>
      <c r="H254" s="55"/>
    </row>
    <row r="255">
      <c r="G255" s="55"/>
      <c r="H255" s="55"/>
    </row>
    <row r="256">
      <c r="G256" s="55"/>
      <c r="H256" s="55"/>
    </row>
    <row r="257">
      <c r="G257" s="55"/>
      <c r="H257" s="55"/>
    </row>
    <row r="258">
      <c r="G258" s="55"/>
      <c r="H258" s="55"/>
    </row>
    <row r="259">
      <c r="G259" s="55"/>
      <c r="H259" s="55"/>
    </row>
    <row r="260">
      <c r="G260" s="55"/>
      <c r="H260" s="55"/>
    </row>
    <row r="261">
      <c r="G261" s="55"/>
      <c r="H261" s="55"/>
    </row>
    <row r="262">
      <c r="G262" s="55"/>
      <c r="H262" s="55"/>
    </row>
    <row r="263">
      <c r="G263" s="55"/>
      <c r="H263" s="55"/>
    </row>
    <row r="264">
      <c r="G264" s="55"/>
      <c r="H264" s="55"/>
    </row>
    <row r="265">
      <c r="G265" s="55"/>
      <c r="H265" s="55"/>
    </row>
    <row r="266">
      <c r="G266" s="55"/>
      <c r="H266" s="55"/>
    </row>
    <row r="267">
      <c r="G267" s="55"/>
      <c r="H267" s="55"/>
    </row>
    <row r="268">
      <c r="G268" s="55"/>
      <c r="H268" s="55"/>
    </row>
    <row r="269">
      <c r="G269" s="55"/>
      <c r="H269" s="55"/>
    </row>
    <row r="270">
      <c r="G270" s="55"/>
      <c r="H270" s="55"/>
    </row>
    <row r="271">
      <c r="G271" s="55"/>
      <c r="H271" s="55"/>
    </row>
    <row r="272">
      <c r="G272" s="55"/>
      <c r="H272" s="55"/>
    </row>
    <row r="273">
      <c r="G273" s="55"/>
      <c r="H273" s="55"/>
    </row>
    <row r="274">
      <c r="G274" s="55"/>
      <c r="H274" s="55"/>
    </row>
    <row r="275">
      <c r="G275" s="55"/>
      <c r="H275" s="55"/>
    </row>
    <row r="276">
      <c r="G276" s="55"/>
      <c r="H276" s="55"/>
    </row>
    <row r="277">
      <c r="G277" s="55"/>
      <c r="H277" s="55"/>
    </row>
    <row r="278">
      <c r="G278" s="55"/>
      <c r="H278" s="55"/>
    </row>
    <row r="279">
      <c r="G279" s="55"/>
      <c r="H279" s="55"/>
    </row>
    <row r="280">
      <c r="G280" s="55"/>
      <c r="H280" s="55"/>
    </row>
    <row r="281">
      <c r="G281" s="55"/>
      <c r="H281" s="55"/>
    </row>
    <row r="282">
      <c r="G282" s="55"/>
      <c r="H282" s="55"/>
    </row>
    <row r="283">
      <c r="G283" s="55"/>
      <c r="H283" s="55"/>
    </row>
    <row r="284">
      <c r="G284" s="55"/>
      <c r="H284" s="55"/>
    </row>
    <row r="285">
      <c r="G285" s="55"/>
      <c r="H285" s="55"/>
    </row>
    <row r="286">
      <c r="G286" s="55"/>
      <c r="H286" s="55"/>
    </row>
    <row r="287">
      <c r="G287" s="55"/>
      <c r="H287" s="55"/>
    </row>
    <row r="288">
      <c r="G288" s="55"/>
      <c r="H288" s="55"/>
    </row>
    <row r="289">
      <c r="G289" s="55"/>
      <c r="H289" s="55"/>
    </row>
    <row r="290">
      <c r="G290" s="55"/>
      <c r="H290" s="55"/>
    </row>
    <row r="291">
      <c r="G291" s="55"/>
      <c r="H291" s="55"/>
    </row>
    <row r="292">
      <c r="G292" s="55"/>
      <c r="H292" s="55"/>
    </row>
    <row r="293">
      <c r="G293" s="55"/>
      <c r="H293" s="55"/>
    </row>
    <row r="294">
      <c r="G294" s="55"/>
      <c r="H294" s="55"/>
    </row>
    <row r="295">
      <c r="G295" s="55"/>
      <c r="H295" s="55"/>
    </row>
    <row r="296">
      <c r="G296" s="55"/>
      <c r="H296" s="55"/>
    </row>
    <row r="297">
      <c r="G297" s="55"/>
      <c r="H297" s="55"/>
    </row>
    <row r="298">
      <c r="G298" s="55"/>
      <c r="H298" s="55"/>
    </row>
    <row r="299">
      <c r="G299" s="55"/>
      <c r="H299" s="55"/>
    </row>
    <row r="300">
      <c r="G300" s="55"/>
      <c r="H300" s="55"/>
    </row>
    <row r="301">
      <c r="G301" s="55"/>
      <c r="H301" s="55"/>
    </row>
    <row r="302">
      <c r="G302" s="55"/>
      <c r="H302" s="55"/>
    </row>
    <row r="303">
      <c r="G303" s="55"/>
      <c r="H303" s="55"/>
    </row>
    <row r="304">
      <c r="G304" s="55"/>
      <c r="H304" s="55"/>
    </row>
    <row r="305">
      <c r="G305" s="55"/>
      <c r="H305" s="55"/>
    </row>
    <row r="306">
      <c r="G306" s="55"/>
      <c r="H306" s="55"/>
    </row>
    <row r="307">
      <c r="G307" s="55"/>
      <c r="H307" s="55"/>
    </row>
    <row r="308">
      <c r="G308" s="55"/>
      <c r="H308" s="55"/>
    </row>
    <row r="309">
      <c r="G309" s="55"/>
      <c r="H309" s="55"/>
    </row>
    <row r="310">
      <c r="G310" s="55"/>
      <c r="H310" s="55"/>
    </row>
    <row r="311">
      <c r="G311" s="55"/>
      <c r="H311" s="55"/>
    </row>
    <row r="312">
      <c r="G312" s="55"/>
      <c r="H312" s="55"/>
    </row>
    <row r="313">
      <c r="G313" s="55"/>
      <c r="H313" s="55"/>
    </row>
    <row r="314">
      <c r="G314" s="55"/>
      <c r="H314" s="55"/>
    </row>
    <row r="315">
      <c r="G315" s="55"/>
      <c r="H315" s="55"/>
    </row>
    <row r="316">
      <c r="G316" s="55"/>
      <c r="H316" s="55"/>
    </row>
    <row r="317">
      <c r="G317" s="55"/>
      <c r="H317" s="55"/>
    </row>
    <row r="318">
      <c r="G318" s="55"/>
      <c r="H318" s="55"/>
    </row>
    <row r="319">
      <c r="G319" s="55"/>
      <c r="H319" s="55"/>
    </row>
    <row r="320">
      <c r="G320" s="55"/>
      <c r="H320" s="55"/>
    </row>
    <row r="321">
      <c r="G321" s="55"/>
      <c r="H321" s="55"/>
    </row>
    <row r="322">
      <c r="G322" s="55"/>
      <c r="H322" s="55"/>
    </row>
    <row r="323">
      <c r="G323" s="55"/>
      <c r="H323" s="55"/>
    </row>
    <row r="324">
      <c r="G324" s="55"/>
      <c r="H324" s="55"/>
    </row>
    <row r="325">
      <c r="G325" s="55"/>
      <c r="H325" s="55"/>
    </row>
    <row r="326">
      <c r="G326" s="55"/>
      <c r="H326" s="55"/>
    </row>
    <row r="327">
      <c r="G327" s="55"/>
      <c r="H327" s="55"/>
    </row>
    <row r="328">
      <c r="G328" s="55"/>
      <c r="H328" s="55"/>
    </row>
    <row r="329">
      <c r="G329" s="55"/>
      <c r="H329" s="55"/>
    </row>
    <row r="330">
      <c r="G330" s="55"/>
      <c r="H330" s="55"/>
    </row>
    <row r="331">
      <c r="G331" s="55"/>
      <c r="H331" s="55"/>
    </row>
    <row r="332">
      <c r="G332" s="55"/>
      <c r="H332" s="55"/>
    </row>
    <row r="333">
      <c r="G333" s="55"/>
      <c r="H333" s="55"/>
    </row>
    <row r="334">
      <c r="G334" s="55"/>
      <c r="H334" s="55"/>
    </row>
    <row r="335">
      <c r="G335" s="55"/>
      <c r="H335" s="55"/>
    </row>
    <row r="336">
      <c r="G336" s="55"/>
      <c r="H336" s="55"/>
    </row>
    <row r="337">
      <c r="G337" s="55"/>
      <c r="H337" s="55"/>
    </row>
    <row r="338">
      <c r="G338" s="55"/>
      <c r="H338" s="55"/>
    </row>
    <row r="339">
      <c r="G339" s="55"/>
      <c r="H339" s="55"/>
    </row>
    <row r="340">
      <c r="G340" s="55"/>
      <c r="H340" s="55"/>
    </row>
    <row r="341">
      <c r="G341" s="55"/>
      <c r="H341" s="55"/>
    </row>
    <row r="342">
      <c r="G342" s="55"/>
      <c r="H342" s="55"/>
    </row>
    <row r="343">
      <c r="G343" s="55"/>
      <c r="H343" s="55"/>
    </row>
    <row r="344">
      <c r="G344" s="55"/>
      <c r="H344" s="55"/>
    </row>
    <row r="345">
      <c r="G345" s="55"/>
      <c r="H345" s="55"/>
    </row>
    <row r="346">
      <c r="G346" s="55"/>
      <c r="H346" s="55"/>
    </row>
    <row r="347">
      <c r="G347" s="55"/>
      <c r="H347" s="55"/>
    </row>
    <row r="348">
      <c r="G348" s="55"/>
      <c r="H348" s="55"/>
    </row>
    <row r="349">
      <c r="G349" s="55"/>
      <c r="H349" s="55"/>
    </row>
    <row r="350">
      <c r="G350" s="55"/>
      <c r="H350" s="55"/>
    </row>
    <row r="351">
      <c r="G351" s="55"/>
      <c r="H351" s="55"/>
    </row>
    <row r="352">
      <c r="G352" s="55"/>
      <c r="H352" s="55"/>
    </row>
    <row r="353">
      <c r="G353" s="55"/>
      <c r="H353" s="55"/>
    </row>
    <row r="354">
      <c r="G354" s="55"/>
      <c r="H354" s="55"/>
    </row>
    <row r="355">
      <c r="G355" s="55"/>
      <c r="H355" s="55"/>
    </row>
    <row r="356">
      <c r="G356" s="55"/>
      <c r="H356" s="55"/>
    </row>
    <row r="357">
      <c r="G357" s="55"/>
      <c r="H357" s="55"/>
    </row>
    <row r="358">
      <c r="G358" s="55"/>
      <c r="H358" s="55"/>
    </row>
    <row r="359">
      <c r="G359" s="55"/>
      <c r="H359" s="55"/>
    </row>
    <row r="360">
      <c r="G360" s="55"/>
      <c r="H360" s="55"/>
    </row>
    <row r="361">
      <c r="G361" s="55"/>
      <c r="H361" s="55"/>
    </row>
    <row r="362">
      <c r="G362" s="55"/>
      <c r="H362" s="55"/>
    </row>
    <row r="363">
      <c r="G363" s="55"/>
      <c r="H363" s="55"/>
    </row>
    <row r="364">
      <c r="G364" s="55"/>
      <c r="H364" s="55"/>
    </row>
    <row r="365">
      <c r="G365" s="55"/>
      <c r="H365" s="55"/>
    </row>
    <row r="366">
      <c r="G366" s="55"/>
      <c r="H366" s="55"/>
    </row>
    <row r="367">
      <c r="G367" s="55"/>
      <c r="H367" s="55"/>
    </row>
    <row r="368">
      <c r="G368" s="55"/>
      <c r="H368" s="55"/>
    </row>
    <row r="369">
      <c r="G369" s="55"/>
      <c r="H369" s="55"/>
    </row>
    <row r="370">
      <c r="G370" s="55"/>
      <c r="H370" s="55"/>
    </row>
    <row r="371">
      <c r="G371" s="55"/>
      <c r="H371" s="55"/>
    </row>
    <row r="372">
      <c r="G372" s="55"/>
      <c r="H372" s="55"/>
    </row>
    <row r="373">
      <c r="G373" s="55"/>
      <c r="H373" s="55"/>
    </row>
    <row r="374">
      <c r="G374" s="55"/>
      <c r="H374" s="55"/>
    </row>
    <row r="375">
      <c r="G375" s="55"/>
      <c r="H375" s="55"/>
    </row>
    <row r="376">
      <c r="G376" s="55"/>
      <c r="H376" s="55"/>
    </row>
    <row r="377">
      <c r="G377" s="55"/>
      <c r="H377" s="55"/>
    </row>
    <row r="378">
      <c r="G378" s="55"/>
      <c r="H378" s="55"/>
    </row>
    <row r="379">
      <c r="G379" s="55"/>
      <c r="H379" s="55"/>
    </row>
    <row r="380">
      <c r="G380" s="55"/>
      <c r="H380" s="55"/>
    </row>
    <row r="381">
      <c r="G381" s="55"/>
      <c r="H381" s="55"/>
    </row>
    <row r="382">
      <c r="G382" s="55"/>
      <c r="H382" s="55"/>
    </row>
    <row r="383">
      <c r="G383" s="55"/>
      <c r="H383" s="55"/>
    </row>
    <row r="384">
      <c r="G384" s="55"/>
      <c r="H384" s="55"/>
    </row>
    <row r="385">
      <c r="G385" s="55"/>
      <c r="H385" s="55"/>
    </row>
    <row r="386">
      <c r="G386" s="55"/>
      <c r="H386" s="55"/>
    </row>
    <row r="387">
      <c r="G387" s="55"/>
      <c r="H387" s="55"/>
    </row>
    <row r="388">
      <c r="G388" s="55"/>
      <c r="H388" s="55"/>
    </row>
    <row r="389">
      <c r="G389" s="55"/>
      <c r="H389" s="55"/>
    </row>
    <row r="390">
      <c r="G390" s="55"/>
      <c r="H390" s="55"/>
    </row>
    <row r="391">
      <c r="G391" s="55"/>
      <c r="H391" s="55"/>
    </row>
    <row r="392">
      <c r="G392" s="55"/>
      <c r="H392" s="55"/>
    </row>
    <row r="393">
      <c r="G393" s="55"/>
      <c r="H393" s="55"/>
    </row>
    <row r="394">
      <c r="G394" s="55"/>
      <c r="H394" s="55"/>
    </row>
    <row r="395">
      <c r="G395" s="55"/>
      <c r="H395" s="55"/>
    </row>
    <row r="396">
      <c r="G396" s="55"/>
      <c r="H396" s="55"/>
    </row>
    <row r="397">
      <c r="G397" s="55"/>
      <c r="H397" s="55"/>
    </row>
    <row r="398">
      <c r="G398" s="55"/>
      <c r="H398" s="55"/>
    </row>
    <row r="399">
      <c r="G399" s="55"/>
      <c r="H399" s="55"/>
    </row>
    <row r="400">
      <c r="G400" s="55"/>
      <c r="H400" s="55"/>
    </row>
    <row r="401">
      <c r="G401" s="55"/>
      <c r="H401" s="55"/>
    </row>
    <row r="402">
      <c r="G402" s="55"/>
      <c r="H402" s="55"/>
    </row>
    <row r="403">
      <c r="G403" s="55"/>
      <c r="H403" s="55"/>
    </row>
    <row r="404">
      <c r="G404" s="55"/>
      <c r="H404" s="55"/>
    </row>
    <row r="405">
      <c r="G405" s="55"/>
      <c r="H405" s="55"/>
    </row>
    <row r="406">
      <c r="G406" s="55"/>
      <c r="H406" s="55"/>
    </row>
    <row r="407">
      <c r="G407" s="55"/>
      <c r="H407" s="55"/>
    </row>
    <row r="408">
      <c r="G408" s="55"/>
      <c r="H408" s="55"/>
    </row>
    <row r="409">
      <c r="G409" s="55"/>
      <c r="H409" s="55"/>
    </row>
    <row r="410">
      <c r="G410" s="55"/>
      <c r="H410" s="55"/>
    </row>
    <row r="411">
      <c r="G411" s="55"/>
      <c r="H411" s="55"/>
    </row>
    <row r="412">
      <c r="G412" s="55"/>
      <c r="H412" s="55"/>
    </row>
    <row r="413">
      <c r="G413" s="55"/>
      <c r="H413" s="55"/>
    </row>
    <row r="414">
      <c r="G414" s="55"/>
      <c r="H414" s="55"/>
    </row>
    <row r="415">
      <c r="G415" s="55"/>
      <c r="H415" s="55"/>
    </row>
    <row r="416">
      <c r="G416" s="55"/>
      <c r="H416" s="55"/>
    </row>
    <row r="417">
      <c r="G417" s="55"/>
      <c r="H417" s="55"/>
    </row>
    <row r="418">
      <c r="G418" s="55"/>
      <c r="H418" s="55"/>
    </row>
    <row r="419">
      <c r="G419" s="55"/>
      <c r="H419" s="55"/>
    </row>
    <row r="420">
      <c r="G420" s="55"/>
      <c r="H420" s="55"/>
    </row>
    <row r="421">
      <c r="G421" s="55"/>
      <c r="H421" s="55"/>
    </row>
    <row r="422">
      <c r="G422" s="55"/>
      <c r="H422" s="55"/>
    </row>
    <row r="423">
      <c r="G423" s="55"/>
      <c r="H423" s="55"/>
    </row>
    <row r="424">
      <c r="G424" s="55"/>
      <c r="H424" s="55"/>
    </row>
    <row r="425">
      <c r="G425" s="55"/>
      <c r="H425" s="55"/>
    </row>
    <row r="426">
      <c r="G426" s="55"/>
      <c r="H426" s="55"/>
    </row>
    <row r="427">
      <c r="G427" s="55"/>
      <c r="H427" s="55"/>
    </row>
    <row r="428">
      <c r="G428" s="55"/>
      <c r="H428" s="55"/>
    </row>
    <row r="429">
      <c r="G429" s="55"/>
      <c r="H429" s="55"/>
    </row>
    <row r="430">
      <c r="G430" s="55"/>
      <c r="H430" s="55"/>
    </row>
    <row r="431">
      <c r="G431" s="55"/>
      <c r="H431" s="55"/>
    </row>
    <row r="432">
      <c r="G432" s="55"/>
      <c r="H432" s="55"/>
    </row>
    <row r="433">
      <c r="G433" s="55"/>
      <c r="H433" s="55"/>
    </row>
    <row r="434">
      <c r="G434" s="55"/>
      <c r="H434" s="55"/>
    </row>
    <row r="435">
      <c r="G435" s="55"/>
      <c r="H435" s="55"/>
    </row>
    <row r="436">
      <c r="G436" s="55"/>
      <c r="H436" s="55"/>
    </row>
    <row r="437">
      <c r="G437" s="55"/>
      <c r="H437" s="55"/>
    </row>
    <row r="438">
      <c r="G438" s="55"/>
      <c r="H438" s="55"/>
    </row>
    <row r="439">
      <c r="G439" s="55"/>
      <c r="H439" s="55"/>
    </row>
    <row r="440">
      <c r="G440" s="55"/>
      <c r="H440" s="55"/>
    </row>
    <row r="441">
      <c r="G441" s="55"/>
      <c r="H441" s="55"/>
    </row>
    <row r="442">
      <c r="G442" s="55"/>
      <c r="H442" s="55"/>
    </row>
    <row r="443">
      <c r="G443" s="55"/>
      <c r="H443" s="55"/>
    </row>
    <row r="444">
      <c r="G444" s="55"/>
      <c r="H444" s="55"/>
    </row>
    <row r="445">
      <c r="G445" s="55"/>
      <c r="H445" s="55"/>
    </row>
    <row r="446">
      <c r="G446" s="55"/>
      <c r="H446" s="55"/>
    </row>
    <row r="447">
      <c r="G447" s="55"/>
      <c r="H447" s="55"/>
    </row>
    <row r="448">
      <c r="G448" s="55"/>
      <c r="H448" s="55"/>
    </row>
    <row r="449">
      <c r="G449" s="55"/>
      <c r="H449" s="55"/>
    </row>
    <row r="450">
      <c r="G450" s="55"/>
      <c r="H450" s="55"/>
    </row>
    <row r="451">
      <c r="G451" s="55"/>
      <c r="H451" s="55"/>
    </row>
    <row r="452">
      <c r="G452" s="55"/>
      <c r="H452" s="55"/>
    </row>
    <row r="453">
      <c r="G453" s="55"/>
      <c r="H453" s="55"/>
    </row>
    <row r="454">
      <c r="G454" s="55"/>
      <c r="H454" s="55"/>
    </row>
    <row r="455">
      <c r="G455" s="55"/>
      <c r="H455" s="55"/>
    </row>
    <row r="456">
      <c r="G456" s="55"/>
      <c r="H456" s="55"/>
    </row>
    <row r="457">
      <c r="G457" s="55"/>
      <c r="H457" s="55"/>
    </row>
    <row r="458">
      <c r="G458" s="55"/>
      <c r="H458" s="55"/>
    </row>
    <row r="459">
      <c r="G459" s="55"/>
      <c r="H459" s="55"/>
    </row>
    <row r="460">
      <c r="G460" s="55"/>
      <c r="H460" s="55"/>
    </row>
    <row r="461">
      <c r="G461" s="55"/>
      <c r="H461" s="55"/>
    </row>
    <row r="462">
      <c r="G462" s="55"/>
      <c r="H462" s="55"/>
    </row>
    <row r="463">
      <c r="G463" s="55"/>
      <c r="H463" s="55"/>
    </row>
    <row r="464">
      <c r="G464" s="55"/>
      <c r="H464" s="55"/>
    </row>
    <row r="465">
      <c r="G465" s="55"/>
      <c r="H465" s="55"/>
    </row>
    <row r="466">
      <c r="G466" s="55"/>
      <c r="H466" s="55"/>
    </row>
    <row r="467">
      <c r="G467" s="55"/>
      <c r="H467" s="55"/>
    </row>
    <row r="468">
      <c r="G468" s="55"/>
      <c r="H468" s="55"/>
    </row>
    <row r="469">
      <c r="G469" s="55"/>
      <c r="H469" s="55"/>
    </row>
    <row r="470">
      <c r="G470" s="55"/>
      <c r="H470" s="55"/>
    </row>
    <row r="471">
      <c r="G471" s="55"/>
      <c r="H471" s="55"/>
    </row>
    <row r="472">
      <c r="G472" s="55"/>
      <c r="H472" s="55"/>
    </row>
    <row r="473">
      <c r="G473" s="55"/>
      <c r="H473" s="55"/>
    </row>
    <row r="474">
      <c r="G474" s="55"/>
      <c r="H474" s="55"/>
    </row>
    <row r="475">
      <c r="G475" s="55"/>
      <c r="H475" s="55"/>
    </row>
    <row r="476">
      <c r="G476" s="55"/>
      <c r="H476" s="55"/>
    </row>
    <row r="477">
      <c r="G477" s="55"/>
      <c r="H477" s="55"/>
    </row>
    <row r="478">
      <c r="G478" s="55"/>
      <c r="H478" s="55"/>
    </row>
    <row r="479">
      <c r="G479" s="55"/>
      <c r="H479" s="55"/>
    </row>
    <row r="480">
      <c r="G480" s="55"/>
      <c r="H480" s="55"/>
    </row>
    <row r="481">
      <c r="G481" s="55"/>
      <c r="H481" s="55"/>
    </row>
    <row r="482">
      <c r="G482" s="55"/>
      <c r="H482" s="55"/>
    </row>
    <row r="483">
      <c r="G483" s="55"/>
      <c r="H483" s="55"/>
    </row>
    <row r="484">
      <c r="G484" s="55"/>
      <c r="H484" s="55"/>
    </row>
    <row r="485">
      <c r="G485" s="55"/>
      <c r="H485" s="55"/>
    </row>
    <row r="486">
      <c r="G486" s="55"/>
      <c r="H486" s="55"/>
    </row>
    <row r="487">
      <c r="G487" s="55"/>
      <c r="H487" s="55"/>
    </row>
    <row r="488">
      <c r="G488" s="55"/>
      <c r="H488" s="55"/>
    </row>
    <row r="489">
      <c r="G489" s="55"/>
      <c r="H489" s="55"/>
    </row>
    <row r="490">
      <c r="G490" s="55"/>
      <c r="H490" s="55"/>
    </row>
    <row r="491">
      <c r="G491" s="55"/>
      <c r="H491" s="55"/>
    </row>
    <row r="492">
      <c r="G492" s="55"/>
      <c r="H492" s="55"/>
    </row>
    <row r="493">
      <c r="G493" s="55"/>
      <c r="H493" s="55"/>
    </row>
    <row r="494">
      <c r="G494" s="55"/>
      <c r="H494" s="55"/>
    </row>
    <row r="495">
      <c r="G495" s="55"/>
      <c r="H495" s="55"/>
    </row>
    <row r="496">
      <c r="G496" s="55"/>
      <c r="H496" s="55"/>
    </row>
    <row r="497">
      <c r="G497" s="55"/>
      <c r="H497" s="55"/>
    </row>
    <row r="498">
      <c r="G498" s="55"/>
      <c r="H498" s="55"/>
    </row>
    <row r="499">
      <c r="G499" s="55"/>
      <c r="H499" s="55"/>
    </row>
    <row r="500">
      <c r="G500" s="55"/>
      <c r="H500" s="55"/>
    </row>
    <row r="501">
      <c r="G501" s="55"/>
      <c r="H501" s="55"/>
    </row>
    <row r="502">
      <c r="G502" s="55"/>
      <c r="H502" s="55"/>
    </row>
    <row r="503">
      <c r="G503" s="55"/>
      <c r="H503" s="55"/>
    </row>
    <row r="504">
      <c r="G504" s="55"/>
      <c r="H504" s="55"/>
    </row>
    <row r="505">
      <c r="G505" s="55"/>
      <c r="H505" s="55"/>
    </row>
    <row r="506">
      <c r="G506" s="55"/>
      <c r="H506" s="55"/>
    </row>
    <row r="507">
      <c r="G507" s="55"/>
      <c r="H507" s="55"/>
    </row>
    <row r="508">
      <c r="G508" s="55"/>
      <c r="H508" s="55"/>
    </row>
    <row r="509">
      <c r="G509" s="55"/>
      <c r="H509" s="55"/>
    </row>
    <row r="510">
      <c r="G510" s="55"/>
      <c r="H510" s="55"/>
    </row>
    <row r="511">
      <c r="G511" s="55"/>
      <c r="H511" s="55"/>
    </row>
    <row r="512">
      <c r="G512" s="55"/>
      <c r="H512" s="55"/>
    </row>
    <row r="513">
      <c r="G513" s="55"/>
      <c r="H513" s="55"/>
    </row>
    <row r="514">
      <c r="G514" s="55"/>
      <c r="H514" s="55"/>
    </row>
    <row r="515">
      <c r="G515" s="55"/>
      <c r="H515" s="55"/>
    </row>
    <row r="516">
      <c r="G516" s="55"/>
      <c r="H516" s="55"/>
    </row>
    <row r="517">
      <c r="G517" s="55"/>
      <c r="H517" s="55"/>
    </row>
    <row r="518">
      <c r="G518" s="55"/>
      <c r="H518" s="55"/>
    </row>
    <row r="519">
      <c r="G519" s="55"/>
      <c r="H519" s="55"/>
    </row>
    <row r="520">
      <c r="G520" s="55"/>
      <c r="H520" s="55"/>
    </row>
    <row r="521">
      <c r="G521" s="55"/>
      <c r="H521" s="55"/>
    </row>
    <row r="522">
      <c r="G522" s="55"/>
      <c r="H522" s="55"/>
    </row>
    <row r="523">
      <c r="G523" s="55"/>
      <c r="H523" s="55"/>
    </row>
    <row r="524">
      <c r="G524" s="55"/>
      <c r="H524" s="55"/>
    </row>
    <row r="525">
      <c r="G525" s="55"/>
      <c r="H525" s="55"/>
    </row>
    <row r="526">
      <c r="G526" s="55"/>
      <c r="H526" s="55"/>
    </row>
    <row r="527">
      <c r="G527" s="55"/>
      <c r="H527" s="55"/>
    </row>
    <row r="528">
      <c r="G528" s="55"/>
      <c r="H528" s="55"/>
    </row>
    <row r="529">
      <c r="G529" s="55"/>
      <c r="H529" s="55"/>
    </row>
    <row r="530">
      <c r="G530" s="55"/>
      <c r="H530" s="55"/>
    </row>
    <row r="531">
      <c r="G531" s="55"/>
      <c r="H531" s="55"/>
    </row>
    <row r="532">
      <c r="G532" s="55"/>
      <c r="H532" s="55"/>
    </row>
    <row r="533">
      <c r="G533" s="55"/>
      <c r="H533" s="55"/>
    </row>
    <row r="534">
      <c r="G534" s="55"/>
      <c r="H534" s="55"/>
    </row>
    <row r="535">
      <c r="G535" s="55"/>
      <c r="H535" s="55"/>
    </row>
    <row r="536">
      <c r="G536" s="55"/>
      <c r="H536" s="55"/>
    </row>
    <row r="537">
      <c r="G537" s="55"/>
      <c r="H537" s="55"/>
    </row>
    <row r="538">
      <c r="G538" s="55"/>
      <c r="H538" s="55"/>
    </row>
    <row r="539">
      <c r="G539" s="55"/>
      <c r="H539" s="55"/>
    </row>
    <row r="540">
      <c r="G540" s="55"/>
      <c r="H540" s="55"/>
    </row>
    <row r="541">
      <c r="G541" s="55"/>
      <c r="H541" s="55"/>
    </row>
    <row r="542">
      <c r="G542" s="55"/>
      <c r="H542" s="55"/>
    </row>
    <row r="543">
      <c r="G543" s="55"/>
      <c r="H543" s="55"/>
    </row>
    <row r="544">
      <c r="G544" s="55"/>
      <c r="H544" s="55"/>
    </row>
    <row r="545">
      <c r="G545" s="55"/>
      <c r="H545" s="55"/>
    </row>
    <row r="546">
      <c r="G546" s="55"/>
      <c r="H546" s="55"/>
    </row>
    <row r="547">
      <c r="G547" s="55"/>
      <c r="H547" s="55"/>
    </row>
    <row r="548">
      <c r="G548" s="55"/>
      <c r="H548" s="55"/>
    </row>
    <row r="549">
      <c r="G549" s="55"/>
      <c r="H549" s="55"/>
    </row>
    <row r="550">
      <c r="G550" s="55"/>
      <c r="H550" s="55"/>
    </row>
    <row r="551">
      <c r="G551" s="55"/>
      <c r="H551" s="55"/>
    </row>
    <row r="552">
      <c r="G552" s="55"/>
      <c r="H552" s="55"/>
    </row>
    <row r="553">
      <c r="G553" s="55"/>
      <c r="H553" s="55"/>
    </row>
    <row r="554">
      <c r="G554" s="55"/>
      <c r="H554" s="55"/>
    </row>
    <row r="555">
      <c r="G555" s="55"/>
      <c r="H555" s="55"/>
    </row>
    <row r="556">
      <c r="G556" s="55"/>
      <c r="H556" s="55"/>
    </row>
    <row r="557">
      <c r="G557" s="55"/>
      <c r="H557" s="55"/>
    </row>
    <row r="558">
      <c r="G558" s="55"/>
      <c r="H558" s="55"/>
    </row>
    <row r="559">
      <c r="G559" s="55"/>
      <c r="H559" s="55"/>
    </row>
    <row r="560">
      <c r="G560" s="55"/>
      <c r="H560" s="55"/>
    </row>
    <row r="561">
      <c r="G561" s="55"/>
      <c r="H561" s="55"/>
    </row>
    <row r="562">
      <c r="G562" s="55"/>
      <c r="H562" s="55"/>
    </row>
    <row r="563">
      <c r="G563" s="55"/>
      <c r="H563" s="55"/>
    </row>
    <row r="564">
      <c r="G564" s="55"/>
      <c r="H564" s="55"/>
    </row>
    <row r="565">
      <c r="G565" s="55"/>
      <c r="H565" s="55"/>
    </row>
    <row r="566">
      <c r="G566" s="55"/>
      <c r="H566" s="55"/>
    </row>
    <row r="567">
      <c r="G567" s="55"/>
      <c r="H567" s="55"/>
    </row>
    <row r="568">
      <c r="G568" s="55"/>
      <c r="H568" s="55"/>
    </row>
    <row r="569">
      <c r="G569" s="55"/>
      <c r="H569" s="55"/>
    </row>
    <row r="570">
      <c r="G570" s="55"/>
      <c r="H570" s="55"/>
    </row>
    <row r="571">
      <c r="G571" s="55"/>
      <c r="H571" s="55"/>
    </row>
    <row r="572">
      <c r="G572" s="55"/>
      <c r="H572" s="55"/>
    </row>
    <row r="573">
      <c r="G573" s="55"/>
      <c r="H573" s="55"/>
    </row>
    <row r="574">
      <c r="G574" s="55"/>
      <c r="H574" s="55"/>
    </row>
    <row r="575">
      <c r="G575" s="55"/>
      <c r="H575" s="55"/>
    </row>
    <row r="576">
      <c r="G576" s="55"/>
      <c r="H576" s="55"/>
    </row>
    <row r="577">
      <c r="G577" s="55"/>
      <c r="H577" s="55"/>
    </row>
    <row r="578">
      <c r="G578" s="55"/>
      <c r="H578" s="55"/>
    </row>
    <row r="579">
      <c r="G579" s="55"/>
      <c r="H579" s="55"/>
    </row>
    <row r="580">
      <c r="G580" s="55"/>
      <c r="H580" s="55"/>
    </row>
    <row r="581">
      <c r="G581" s="55"/>
      <c r="H581" s="55"/>
    </row>
    <row r="582">
      <c r="G582" s="55"/>
      <c r="H582" s="55"/>
    </row>
    <row r="583">
      <c r="G583" s="55"/>
      <c r="H583" s="55"/>
    </row>
    <row r="584">
      <c r="G584" s="55"/>
      <c r="H584" s="55"/>
    </row>
    <row r="585">
      <c r="G585" s="55"/>
      <c r="H585" s="55"/>
    </row>
    <row r="586">
      <c r="G586" s="55"/>
      <c r="H586" s="55"/>
    </row>
    <row r="587">
      <c r="G587" s="55"/>
      <c r="H587" s="55"/>
    </row>
    <row r="588">
      <c r="G588" s="55"/>
      <c r="H588" s="55"/>
    </row>
    <row r="589">
      <c r="G589" s="55"/>
      <c r="H589" s="55"/>
    </row>
    <row r="590">
      <c r="G590" s="55"/>
      <c r="H590" s="55"/>
    </row>
    <row r="591">
      <c r="G591" s="55"/>
      <c r="H591" s="55"/>
    </row>
    <row r="592">
      <c r="G592" s="55"/>
      <c r="H592" s="55"/>
    </row>
    <row r="593">
      <c r="G593" s="55"/>
      <c r="H593" s="55"/>
    </row>
    <row r="594">
      <c r="G594" s="55"/>
      <c r="H594" s="55"/>
    </row>
    <row r="595">
      <c r="G595" s="55"/>
      <c r="H595" s="55"/>
    </row>
    <row r="596">
      <c r="G596" s="55"/>
      <c r="H596" s="55"/>
    </row>
    <row r="597">
      <c r="G597" s="55"/>
      <c r="H597" s="55"/>
    </row>
    <row r="598">
      <c r="G598" s="55"/>
      <c r="H598" s="55"/>
    </row>
    <row r="599">
      <c r="G599" s="55"/>
      <c r="H599" s="55"/>
    </row>
    <row r="600">
      <c r="G600" s="55"/>
      <c r="H600" s="55"/>
    </row>
    <row r="601">
      <c r="G601" s="55"/>
      <c r="H601" s="55"/>
    </row>
    <row r="602">
      <c r="G602" s="55"/>
      <c r="H602" s="55"/>
    </row>
    <row r="603">
      <c r="G603" s="55"/>
      <c r="H603" s="55"/>
    </row>
    <row r="604">
      <c r="G604" s="55"/>
      <c r="H604" s="55"/>
    </row>
    <row r="605">
      <c r="G605" s="55"/>
      <c r="H605" s="55"/>
    </row>
    <row r="606">
      <c r="G606" s="55"/>
      <c r="H606" s="55"/>
    </row>
    <row r="607">
      <c r="G607" s="55"/>
      <c r="H607" s="55"/>
    </row>
    <row r="608">
      <c r="G608" s="55"/>
      <c r="H608" s="55"/>
    </row>
    <row r="609">
      <c r="G609" s="55"/>
      <c r="H609" s="55"/>
    </row>
    <row r="610">
      <c r="G610" s="55"/>
      <c r="H610" s="55"/>
    </row>
    <row r="611">
      <c r="G611" s="55"/>
      <c r="H611" s="55"/>
    </row>
    <row r="612">
      <c r="G612" s="55"/>
      <c r="H612" s="55"/>
    </row>
    <row r="613">
      <c r="G613" s="55"/>
      <c r="H613" s="55"/>
    </row>
    <row r="614">
      <c r="G614" s="55"/>
      <c r="H614" s="55"/>
    </row>
    <row r="615">
      <c r="G615" s="55"/>
      <c r="H615" s="55"/>
    </row>
    <row r="616">
      <c r="G616" s="55"/>
      <c r="H616" s="55"/>
    </row>
    <row r="617">
      <c r="G617" s="55"/>
      <c r="H617" s="55"/>
    </row>
    <row r="618">
      <c r="G618" s="55"/>
      <c r="H618" s="55"/>
    </row>
    <row r="619">
      <c r="G619" s="55"/>
      <c r="H619" s="55"/>
    </row>
    <row r="620">
      <c r="G620" s="55"/>
      <c r="H620" s="55"/>
    </row>
    <row r="621">
      <c r="G621" s="55"/>
      <c r="H621" s="55"/>
    </row>
    <row r="622">
      <c r="G622" s="55"/>
      <c r="H622" s="55"/>
    </row>
    <row r="623">
      <c r="G623" s="55"/>
      <c r="H623" s="55"/>
    </row>
    <row r="624">
      <c r="G624" s="55"/>
      <c r="H624" s="55"/>
    </row>
    <row r="625">
      <c r="G625" s="55"/>
      <c r="H625" s="55"/>
    </row>
    <row r="626">
      <c r="G626" s="55"/>
      <c r="H626" s="55"/>
    </row>
    <row r="627">
      <c r="G627" s="55"/>
      <c r="H627" s="55"/>
    </row>
    <row r="628">
      <c r="G628" s="55"/>
      <c r="H628" s="55"/>
    </row>
    <row r="629">
      <c r="G629" s="55"/>
      <c r="H629" s="55"/>
    </row>
    <row r="630">
      <c r="G630" s="55"/>
      <c r="H630" s="55"/>
    </row>
    <row r="631">
      <c r="G631" s="55"/>
      <c r="H631" s="55"/>
    </row>
    <row r="632">
      <c r="G632" s="55"/>
      <c r="H632" s="55"/>
    </row>
    <row r="633">
      <c r="G633" s="55"/>
      <c r="H633" s="55"/>
    </row>
    <row r="634">
      <c r="G634" s="55"/>
      <c r="H634" s="55"/>
    </row>
    <row r="635">
      <c r="G635" s="55"/>
      <c r="H635" s="55"/>
    </row>
    <row r="636">
      <c r="G636" s="55"/>
      <c r="H636" s="55"/>
    </row>
    <row r="637">
      <c r="G637" s="55"/>
      <c r="H637" s="55"/>
    </row>
    <row r="638">
      <c r="G638" s="55"/>
      <c r="H638" s="55"/>
    </row>
    <row r="639">
      <c r="G639" s="55"/>
      <c r="H639" s="55"/>
    </row>
    <row r="640">
      <c r="G640" s="55"/>
      <c r="H640" s="55"/>
    </row>
    <row r="641">
      <c r="G641" s="55"/>
      <c r="H641" s="55"/>
    </row>
    <row r="642">
      <c r="G642" s="55"/>
      <c r="H642" s="55"/>
    </row>
    <row r="643">
      <c r="G643" s="55"/>
      <c r="H643" s="55"/>
    </row>
    <row r="644">
      <c r="G644" s="55"/>
      <c r="H644" s="55"/>
    </row>
    <row r="645">
      <c r="G645" s="55"/>
      <c r="H645" s="55"/>
    </row>
    <row r="646">
      <c r="G646" s="55"/>
      <c r="H646" s="55"/>
    </row>
    <row r="647">
      <c r="G647" s="55"/>
      <c r="H647" s="55"/>
    </row>
    <row r="648">
      <c r="G648" s="55"/>
      <c r="H648" s="55"/>
    </row>
    <row r="649">
      <c r="G649" s="55"/>
      <c r="H649" s="55"/>
    </row>
    <row r="650">
      <c r="G650" s="55"/>
      <c r="H650" s="55"/>
    </row>
    <row r="651">
      <c r="G651" s="55"/>
      <c r="H651" s="55"/>
    </row>
    <row r="652">
      <c r="G652" s="55"/>
      <c r="H652" s="55"/>
    </row>
    <row r="653">
      <c r="G653" s="55"/>
      <c r="H653" s="55"/>
    </row>
    <row r="654">
      <c r="G654" s="55"/>
      <c r="H654" s="55"/>
    </row>
    <row r="655">
      <c r="G655" s="55"/>
      <c r="H655" s="55"/>
    </row>
    <row r="656">
      <c r="G656" s="55"/>
      <c r="H656" s="55"/>
    </row>
    <row r="657">
      <c r="G657" s="55"/>
      <c r="H657" s="55"/>
    </row>
    <row r="658">
      <c r="G658" s="55"/>
      <c r="H658" s="55"/>
    </row>
    <row r="659">
      <c r="G659" s="55"/>
      <c r="H659" s="55"/>
    </row>
    <row r="660">
      <c r="G660" s="55"/>
      <c r="H660" s="55"/>
    </row>
    <row r="661">
      <c r="G661" s="55"/>
      <c r="H661" s="55"/>
    </row>
    <row r="662">
      <c r="G662" s="55"/>
      <c r="H662" s="55"/>
    </row>
    <row r="663">
      <c r="G663" s="55"/>
      <c r="H663" s="55"/>
    </row>
    <row r="664">
      <c r="G664" s="55"/>
      <c r="H664" s="55"/>
    </row>
    <row r="665">
      <c r="G665" s="55"/>
      <c r="H665" s="55"/>
    </row>
    <row r="666">
      <c r="G666" s="55"/>
      <c r="H666" s="55"/>
    </row>
    <row r="667">
      <c r="G667" s="55"/>
      <c r="H667" s="55"/>
    </row>
    <row r="668">
      <c r="G668" s="55"/>
      <c r="H668" s="55"/>
    </row>
    <row r="669">
      <c r="G669" s="55"/>
      <c r="H669" s="55"/>
    </row>
    <row r="670">
      <c r="G670" s="55"/>
      <c r="H670" s="55"/>
    </row>
    <row r="671">
      <c r="G671" s="55"/>
      <c r="H671" s="55"/>
    </row>
    <row r="672">
      <c r="G672" s="55"/>
      <c r="H672" s="55"/>
    </row>
    <row r="673">
      <c r="G673" s="55"/>
      <c r="H673" s="55"/>
    </row>
    <row r="674">
      <c r="G674" s="55"/>
      <c r="H674" s="55"/>
    </row>
    <row r="675">
      <c r="G675" s="55"/>
      <c r="H675" s="55"/>
    </row>
    <row r="676">
      <c r="G676" s="55"/>
      <c r="H676" s="55"/>
    </row>
    <row r="677">
      <c r="G677" s="55"/>
      <c r="H677" s="55"/>
    </row>
    <row r="678">
      <c r="G678" s="55"/>
      <c r="H678" s="55"/>
    </row>
    <row r="679">
      <c r="G679" s="55"/>
      <c r="H679" s="55"/>
    </row>
    <row r="680">
      <c r="G680" s="55"/>
      <c r="H680" s="55"/>
    </row>
    <row r="681">
      <c r="G681" s="55"/>
      <c r="H681" s="55"/>
    </row>
    <row r="682">
      <c r="G682" s="55"/>
      <c r="H682" s="55"/>
    </row>
    <row r="683">
      <c r="G683" s="55"/>
      <c r="H683" s="55"/>
    </row>
    <row r="684">
      <c r="G684" s="55"/>
      <c r="H684" s="55"/>
    </row>
    <row r="685">
      <c r="G685" s="55"/>
      <c r="H685" s="55"/>
    </row>
    <row r="686">
      <c r="G686" s="55"/>
      <c r="H686" s="55"/>
    </row>
    <row r="687">
      <c r="G687" s="55"/>
      <c r="H687" s="55"/>
    </row>
    <row r="688">
      <c r="G688" s="55"/>
      <c r="H688" s="55"/>
    </row>
    <row r="689">
      <c r="G689" s="55"/>
      <c r="H689" s="55"/>
    </row>
    <row r="690">
      <c r="G690" s="55"/>
      <c r="H690" s="55"/>
    </row>
    <row r="691">
      <c r="G691" s="55"/>
      <c r="H691" s="55"/>
    </row>
    <row r="692">
      <c r="G692" s="55"/>
      <c r="H692" s="55"/>
    </row>
    <row r="693">
      <c r="G693" s="55"/>
      <c r="H693" s="55"/>
    </row>
    <row r="694">
      <c r="G694" s="55"/>
      <c r="H694" s="55"/>
    </row>
    <row r="695">
      <c r="G695" s="55"/>
      <c r="H695" s="55"/>
    </row>
    <row r="696">
      <c r="G696" s="55"/>
      <c r="H696" s="55"/>
    </row>
    <row r="697">
      <c r="G697" s="55"/>
      <c r="H697" s="55"/>
    </row>
    <row r="698">
      <c r="G698" s="55"/>
      <c r="H698" s="55"/>
    </row>
    <row r="699">
      <c r="G699" s="55"/>
      <c r="H699" s="55"/>
    </row>
    <row r="700">
      <c r="G700" s="55"/>
      <c r="H700" s="55"/>
    </row>
    <row r="701">
      <c r="G701" s="55"/>
      <c r="H701" s="55"/>
    </row>
    <row r="702">
      <c r="G702" s="55"/>
      <c r="H702" s="55"/>
    </row>
    <row r="703">
      <c r="G703" s="55"/>
      <c r="H703" s="55"/>
    </row>
    <row r="704">
      <c r="G704" s="55"/>
      <c r="H704" s="55"/>
    </row>
    <row r="705">
      <c r="G705" s="55"/>
      <c r="H705" s="55"/>
    </row>
    <row r="706">
      <c r="G706" s="55"/>
      <c r="H706" s="55"/>
    </row>
    <row r="707">
      <c r="G707" s="55"/>
      <c r="H707" s="55"/>
    </row>
    <row r="708">
      <c r="G708" s="55"/>
      <c r="H708" s="55"/>
    </row>
    <row r="709">
      <c r="G709" s="55"/>
      <c r="H709" s="55"/>
    </row>
    <row r="710">
      <c r="G710" s="55"/>
      <c r="H710" s="55"/>
    </row>
    <row r="711">
      <c r="G711" s="55"/>
      <c r="H711" s="55"/>
    </row>
    <row r="712">
      <c r="G712" s="55"/>
      <c r="H712" s="55"/>
    </row>
    <row r="713">
      <c r="G713" s="55"/>
      <c r="H713" s="55"/>
    </row>
    <row r="714">
      <c r="G714" s="55"/>
      <c r="H714" s="55"/>
    </row>
    <row r="715">
      <c r="G715" s="55"/>
      <c r="H715" s="55"/>
    </row>
    <row r="716">
      <c r="G716" s="55"/>
      <c r="H716" s="55"/>
    </row>
    <row r="717">
      <c r="G717" s="55"/>
      <c r="H717" s="55"/>
    </row>
    <row r="718">
      <c r="G718" s="55"/>
      <c r="H718" s="55"/>
    </row>
    <row r="719">
      <c r="G719" s="55"/>
      <c r="H719" s="55"/>
    </row>
    <row r="720">
      <c r="G720" s="55"/>
      <c r="H720" s="55"/>
    </row>
    <row r="721">
      <c r="G721" s="55"/>
      <c r="H721" s="55"/>
    </row>
    <row r="722">
      <c r="G722" s="55"/>
      <c r="H722" s="55"/>
    </row>
    <row r="723">
      <c r="G723" s="55"/>
      <c r="H723" s="55"/>
    </row>
    <row r="724">
      <c r="G724" s="55"/>
      <c r="H724" s="55"/>
    </row>
    <row r="725">
      <c r="G725" s="55"/>
      <c r="H725" s="55"/>
    </row>
    <row r="726">
      <c r="G726" s="55"/>
      <c r="H726" s="55"/>
    </row>
    <row r="727">
      <c r="G727" s="55"/>
      <c r="H727" s="55"/>
    </row>
    <row r="728">
      <c r="G728" s="55"/>
      <c r="H728" s="55"/>
    </row>
    <row r="729">
      <c r="G729" s="55"/>
      <c r="H729" s="55"/>
    </row>
    <row r="730">
      <c r="G730" s="55"/>
      <c r="H730" s="55"/>
    </row>
    <row r="731">
      <c r="G731" s="55"/>
      <c r="H731" s="55"/>
    </row>
    <row r="732">
      <c r="G732" s="55"/>
      <c r="H732" s="55"/>
    </row>
    <row r="733">
      <c r="G733" s="55"/>
      <c r="H733" s="55"/>
    </row>
    <row r="734">
      <c r="G734" s="55"/>
      <c r="H734" s="55"/>
    </row>
    <row r="735">
      <c r="G735" s="55"/>
      <c r="H735" s="55"/>
    </row>
    <row r="736">
      <c r="G736" s="55"/>
      <c r="H736" s="55"/>
    </row>
    <row r="737">
      <c r="G737" s="55"/>
      <c r="H737" s="55"/>
    </row>
    <row r="738">
      <c r="G738" s="55"/>
      <c r="H738" s="55"/>
    </row>
    <row r="739">
      <c r="G739" s="55"/>
      <c r="H739" s="55"/>
    </row>
    <row r="740">
      <c r="G740" s="55"/>
      <c r="H740" s="55"/>
    </row>
    <row r="741">
      <c r="G741" s="55"/>
      <c r="H741" s="55"/>
    </row>
    <row r="742">
      <c r="G742" s="55"/>
      <c r="H742" s="55"/>
    </row>
    <row r="743">
      <c r="G743" s="55"/>
      <c r="H743" s="55"/>
    </row>
    <row r="744">
      <c r="G744" s="55"/>
      <c r="H744" s="55"/>
    </row>
    <row r="745">
      <c r="G745" s="55"/>
      <c r="H745" s="55"/>
    </row>
    <row r="746">
      <c r="G746" s="55"/>
      <c r="H746" s="55"/>
    </row>
    <row r="747">
      <c r="G747" s="55"/>
      <c r="H747" s="55"/>
    </row>
    <row r="748">
      <c r="G748" s="55"/>
      <c r="H748" s="55"/>
    </row>
    <row r="749">
      <c r="G749" s="55"/>
      <c r="H749" s="55"/>
    </row>
    <row r="750">
      <c r="G750" s="55"/>
      <c r="H750" s="55"/>
    </row>
    <row r="751">
      <c r="G751" s="55"/>
      <c r="H751" s="55"/>
    </row>
    <row r="752">
      <c r="G752" s="55"/>
      <c r="H752" s="55"/>
    </row>
    <row r="753">
      <c r="G753" s="55"/>
      <c r="H753" s="55"/>
    </row>
    <row r="754">
      <c r="G754" s="55"/>
      <c r="H754" s="55"/>
    </row>
    <row r="755">
      <c r="G755" s="55"/>
      <c r="H755" s="55"/>
    </row>
    <row r="756">
      <c r="G756" s="55"/>
      <c r="H756" s="55"/>
    </row>
    <row r="757">
      <c r="G757" s="55"/>
      <c r="H757" s="55"/>
    </row>
    <row r="758">
      <c r="G758" s="55"/>
      <c r="H758" s="55"/>
    </row>
    <row r="759">
      <c r="G759" s="55"/>
      <c r="H759" s="55"/>
    </row>
    <row r="760">
      <c r="G760" s="55"/>
      <c r="H760" s="55"/>
    </row>
    <row r="761">
      <c r="G761" s="55"/>
      <c r="H761" s="55"/>
    </row>
    <row r="762">
      <c r="G762" s="55"/>
      <c r="H762" s="55"/>
    </row>
    <row r="763">
      <c r="G763" s="55"/>
      <c r="H763" s="55"/>
    </row>
    <row r="764">
      <c r="G764" s="55"/>
      <c r="H764" s="55"/>
    </row>
    <row r="765">
      <c r="G765" s="55"/>
      <c r="H765" s="55"/>
    </row>
    <row r="766">
      <c r="G766" s="55"/>
      <c r="H766" s="55"/>
    </row>
    <row r="767">
      <c r="G767" s="55"/>
      <c r="H767" s="55"/>
    </row>
    <row r="768">
      <c r="G768" s="55"/>
      <c r="H768" s="55"/>
    </row>
    <row r="769">
      <c r="G769" s="55"/>
      <c r="H769" s="55"/>
    </row>
    <row r="770">
      <c r="G770" s="55"/>
      <c r="H770" s="55"/>
    </row>
    <row r="771">
      <c r="G771" s="55"/>
      <c r="H771" s="55"/>
    </row>
    <row r="772">
      <c r="G772" s="55"/>
      <c r="H772" s="55"/>
    </row>
    <row r="773">
      <c r="G773" s="55"/>
      <c r="H773" s="55"/>
    </row>
    <row r="774">
      <c r="G774" s="55"/>
      <c r="H774" s="55"/>
    </row>
    <row r="775">
      <c r="G775" s="55"/>
      <c r="H775" s="55"/>
    </row>
    <row r="776">
      <c r="G776" s="55"/>
      <c r="H776" s="55"/>
    </row>
    <row r="777">
      <c r="G777" s="55"/>
      <c r="H777" s="55"/>
    </row>
    <row r="778">
      <c r="G778" s="55"/>
      <c r="H778" s="55"/>
    </row>
    <row r="779">
      <c r="G779" s="55"/>
      <c r="H779" s="55"/>
    </row>
    <row r="780">
      <c r="G780" s="55"/>
      <c r="H780" s="55"/>
    </row>
    <row r="781">
      <c r="G781" s="55"/>
      <c r="H781" s="55"/>
    </row>
    <row r="782">
      <c r="G782" s="55"/>
      <c r="H782" s="55"/>
    </row>
    <row r="783">
      <c r="G783" s="55"/>
      <c r="H783" s="55"/>
    </row>
    <row r="784">
      <c r="G784" s="55"/>
      <c r="H784" s="55"/>
    </row>
    <row r="785">
      <c r="G785" s="55"/>
      <c r="H785" s="55"/>
    </row>
    <row r="786">
      <c r="G786" s="55"/>
      <c r="H786" s="55"/>
    </row>
    <row r="787">
      <c r="G787" s="55"/>
      <c r="H787" s="55"/>
    </row>
    <row r="788">
      <c r="G788" s="55"/>
      <c r="H788" s="55"/>
    </row>
    <row r="789">
      <c r="G789" s="55"/>
      <c r="H789" s="55"/>
    </row>
    <row r="790">
      <c r="G790" s="55"/>
      <c r="H790" s="55"/>
    </row>
    <row r="791">
      <c r="G791" s="55"/>
      <c r="H791" s="55"/>
    </row>
    <row r="792">
      <c r="G792" s="55"/>
      <c r="H792" s="55"/>
    </row>
    <row r="793">
      <c r="G793" s="55"/>
      <c r="H793" s="55"/>
    </row>
    <row r="794">
      <c r="G794" s="55"/>
      <c r="H794" s="55"/>
    </row>
    <row r="795">
      <c r="G795" s="55"/>
      <c r="H795" s="55"/>
    </row>
    <row r="796">
      <c r="G796" s="55"/>
      <c r="H796" s="55"/>
    </row>
    <row r="797">
      <c r="G797" s="55"/>
      <c r="H797" s="55"/>
    </row>
    <row r="798">
      <c r="G798" s="55"/>
      <c r="H798" s="55"/>
    </row>
    <row r="799">
      <c r="G799" s="55"/>
      <c r="H799" s="55"/>
    </row>
    <row r="800">
      <c r="G800" s="55"/>
      <c r="H800" s="55"/>
    </row>
    <row r="801">
      <c r="G801" s="55"/>
      <c r="H801" s="55"/>
    </row>
    <row r="802">
      <c r="G802" s="55"/>
      <c r="H802" s="55"/>
    </row>
    <row r="803">
      <c r="G803" s="55"/>
      <c r="H803" s="55"/>
    </row>
    <row r="804">
      <c r="G804" s="55"/>
      <c r="H804" s="55"/>
    </row>
    <row r="805">
      <c r="G805" s="55"/>
      <c r="H805" s="55"/>
    </row>
    <row r="806">
      <c r="G806" s="55"/>
      <c r="H806" s="55"/>
    </row>
    <row r="807">
      <c r="G807" s="55"/>
      <c r="H807" s="55"/>
    </row>
    <row r="808">
      <c r="G808" s="55"/>
      <c r="H808" s="55"/>
    </row>
    <row r="809">
      <c r="G809" s="55"/>
      <c r="H809" s="55"/>
    </row>
    <row r="810">
      <c r="G810" s="55"/>
      <c r="H810" s="55"/>
    </row>
    <row r="811">
      <c r="G811" s="55"/>
      <c r="H811" s="55"/>
    </row>
    <row r="812">
      <c r="G812" s="55"/>
      <c r="H812" s="55"/>
    </row>
    <row r="813">
      <c r="G813" s="55"/>
      <c r="H813" s="55"/>
    </row>
    <row r="814">
      <c r="G814" s="55"/>
      <c r="H814" s="55"/>
    </row>
    <row r="815">
      <c r="G815" s="55"/>
      <c r="H815" s="55"/>
    </row>
    <row r="816">
      <c r="G816" s="55"/>
      <c r="H816" s="55"/>
    </row>
    <row r="817">
      <c r="G817" s="55"/>
      <c r="H817" s="55"/>
    </row>
    <row r="818">
      <c r="G818" s="55"/>
      <c r="H818" s="55"/>
    </row>
    <row r="819">
      <c r="G819" s="55"/>
      <c r="H819" s="55"/>
    </row>
    <row r="820">
      <c r="G820" s="55"/>
      <c r="H820" s="55"/>
    </row>
    <row r="821">
      <c r="G821" s="55"/>
      <c r="H821" s="55"/>
    </row>
    <row r="822">
      <c r="G822" s="55"/>
      <c r="H822" s="55"/>
    </row>
    <row r="823">
      <c r="G823" s="55"/>
      <c r="H823" s="55"/>
    </row>
    <row r="824">
      <c r="G824" s="55"/>
      <c r="H824" s="55"/>
    </row>
    <row r="825">
      <c r="G825" s="55"/>
      <c r="H825" s="55"/>
    </row>
    <row r="826">
      <c r="G826" s="55"/>
      <c r="H826" s="55"/>
    </row>
    <row r="827">
      <c r="G827" s="55"/>
      <c r="H827" s="55"/>
    </row>
    <row r="828">
      <c r="G828" s="55"/>
      <c r="H828" s="55"/>
    </row>
    <row r="829">
      <c r="G829" s="55"/>
      <c r="H829" s="55"/>
    </row>
    <row r="830">
      <c r="G830" s="55"/>
      <c r="H830" s="55"/>
    </row>
    <row r="831">
      <c r="G831" s="55"/>
      <c r="H831" s="55"/>
    </row>
    <row r="832">
      <c r="G832" s="55"/>
      <c r="H832" s="55"/>
    </row>
    <row r="833">
      <c r="G833" s="55"/>
      <c r="H833" s="55"/>
    </row>
    <row r="834">
      <c r="G834" s="55"/>
      <c r="H834" s="55"/>
    </row>
    <row r="835">
      <c r="G835" s="55"/>
      <c r="H835" s="55"/>
    </row>
    <row r="836">
      <c r="G836" s="55"/>
      <c r="H836" s="55"/>
    </row>
    <row r="837">
      <c r="G837" s="55"/>
      <c r="H837" s="55"/>
    </row>
    <row r="838">
      <c r="G838" s="55"/>
      <c r="H838" s="55"/>
    </row>
    <row r="839">
      <c r="G839" s="55"/>
      <c r="H839" s="55"/>
    </row>
    <row r="840">
      <c r="G840" s="55"/>
      <c r="H840" s="55"/>
    </row>
    <row r="841">
      <c r="G841" s="55"/>
      <c r="H841" s="55"/>
    </row>
    <row r="842">
      <c r="G842" s="55"/>
      <c r="H842" s="55"/>
    </row>
    <row r="843">
      <c r="G843" s="55"/>
      <c r="H843" s="55"/>
    </row>
    <row r="844">
      <c r="G844" s="55"/>
      <c r="H844" s="55"/>
    </row>
    <row r="845">
      <c r="G845" s="55"/>
      <c r="H845" s="55"/>
    </row>
    <row r="846">
      <c r="G846" s="55"/>
      <c r="H846" s="55"/>
    </row>
    <row r="847">
      <c r="G847" s="55"/>
      <c r="H847" s="55"/>
    </row>
    <row r="848">
      <c r="G848" s="55"/>
      <c r="H848" s="55"/>
    </row>
    <row r="849">
      <c r="G849" s="55"/>
      <c r="H849" s="55"/>
    </row>
    <row r="850">
      <c r="G850" s="55"/>
      <c r="H850" s="55"/>
    </row>
    <row r="851">
      <c r="G851" s="55"/>
      <c r="H851" s="55"/>
    </row>
    <row r="852">
      <c r="G852" s="55"/>
      <c r="H852" s="55"/>
    </row>
    <row r="853">
      <c r="G853" s="55"/>
      <c r="H853" s="55"/>
    </row>
    <row r="854">
      <c r="G854" s="55"/>
      <c r="H854" s="55"/>
    </row>
    <row r="855">
      <c r="G855" s="55"/>
      <c r="H855" s="55"/>
    </row>
    <row r="856">
      <c r="G856" s="55"/>
      <c r="H856" s="55"/>
    </row>
    <row r="857">
      <c r="G857" s="55"/>
      <c r="H857" s="55"/>
    </row>
    <row r="858">
      <c r="G858" s="55"/>
      <c r="H858" s="55"/>
    </row>
    <row r="859">
      <c r="G859" s="55"/>
      <c r="H859" s="55"/>
    </row>
    <row r="860">
      <c r="G860" s="55"/>
      <c r="H860" s="55"/>
    </row>
    <row r="861">
      <c r="G861" s="55"/>
      <c r="H861" s="55"/>
    </row>
    <row r="862">
      <c r="G862" s="55"/>
      <c r="H862" s="55"/>
    </row>
    <row r="863">
      <c r="G863" s="55"/>
      <c r="H863" s="55"/>
    </row>
    <row r="864">
      <c r="G864" s="55"/>
      <c r="H864" s="55"/>
    </row>
    <row r="865">
      <c r="G865" s="55"/>
      <c r="H865" s="55"/>
    </row>
    <row r="866">
      <c r="G866" s="55"/>
      <c r="H866" s="55"/>
    </row>
    <row r="867">
      <c r="G867" s="55"/>
      <c r="H867" s="55"/>
    </row>
    <row r="868">
      <c r="G868" s="55"/>
      <c r="H868" s="55"/>
    </row>
    <row r="869">
      <c r="G869" s="55"/>
      <c r="H869" s="55"/>
    </row>
    <row r="870">
      <c r="G870" s="55"/>
      <c r="H870" s="55"/>
    </row>
    <row r="871">
      <c r="G871" s="55"/>
      <c r="H871" s="55"/>
    </row>
    <row r="872">
      <c r="G872" s="55"/>
      <c r="H872" s="55"/>
    </row>
    <row r="873">
      <c r="G873" s="55"/>
      <c r="H873" s="55"/>
    </row>
    <row r="874">
      <c r="G874" s="55"/>
      <c r="H874" s="55"/>
    </row>
    <row r="875">
      <c r="G875" s="55"/>
      <c r="H875" s="55"/>
    </row>
    <row r="876">
      <c r="G876" s="55"/>
      <c r="H876" s="55"/>
    </row>
    <row r="877">
      <c r="G877" s="55"/>
      <c r="H877" s="55"/>
    </row>
    <row r="878">
      <c r="G878" s="55"/>
      <c r="H878" s="55"/>
    </row>
    <row r="879">
      <c r="G879" s="55"/>
      <c r="H879" s="55"/>
    </row>
    <row r="880">
      <c r="G880" s="55"/>
      <c r="H880" s="55"/>
    </row>
    <row r="881">
      <c r="G881" s="55"/>
      <c r="H881" s="55"/>
    </row>
    <row r="882">
      <c r="G882" s="55"/>
      <c r="H882" s="55"/>
    </row>
    <row r="883">
      <c r="G883" s="55"/>
      <c r="H883" s="55"/>
    </row>
    <row r="884">
      <c r="G884" s="55"/>
      <c r="H884" s="55"/>
    </row>
    <row r="885">
      <c r="G885" s="55"/>
      <c r="H885" s="55"/>
    </row>
    <row r="886">
      <c r="G886" s="55"/>
      <c r="H886" s="55"/>
    </row>
    <row r="887">
      <c r="G887" s="55"/>
      <c r="H887" s="55"/>
    </row>
    <row r="888">
      <c r="G888" s="55"/>
      <c r="H888" s="55"/>
    </row>
    <row r="889">
      <c r="G889" s="55"/>
      <c r="H889" s="55"/>
    </row>
    <row r="890">
      <c r="G890" s="55"/>
      <c r="H890" s="55"/>
    </row>
    <row r="891">
      <c r="G891" s="55"/>
      <c r="H891" s="55"/>
    </row>
    <row r="892">
      <c r="G892" s="55"/>
      <c r="H892" s="55"/>
    </row>
    <row r="893">
      <c r="G893" s="55"/>
      <c r="H893" s="55"/>
    </row>
    <row r="894">
      <c r="G894" s="55"/>
      <c r="H894" s="55"/>
    </row>
    <row r="895">
      <c r="G895" s="55"/>
      <c r="H895" s="55"/>
    </row>
    <row r="896">
      <c r="G896" s="55"/>
      <c r="H896" s="55"/>
    </row>
    <row r="897">
      <c r="G897" s="55"/>
      <c r="H897" s="55"/>
    </row>
    <row r="898">
      <c r="G898" s="55"/>
      <c r="H898" s="55"/>
    </row>
    <row r="899">
      <c r="G899" s="55"/>
      <c r="H899" s="55"/>
    </row>
    <row r="900">
      <c r="G900" s="55"/>
      <c r="H900" s="55"/>
    </row>
    <row r="901">
      <c r="G901" s="55"/>
      <c r="H901" s="55"/>
    </row>
    <row r="902">
      <c r="G902" s="55"/>
      <c r="H902" s="55"/>
    </row>
    <row r="903">
      <c r="G903" s="55"/>
      <c r="H903" s="55"/>
    </row>
    <row r="904">
      <c r="G904" s="55"/>
      <c r="H904" s="55"/>
    </row>
    <row r="905">
      <c r="G905" s="55"/>
      <c r="H905" s="55"/>
    </row>
    <row r="906">
      <c r="G906" s="55"/>
      <c r="H906" s="55"/>
    </row>
    <row r="907">
      <c r="G907" s="55"/>
      <c r="H907" s="55"/>
    </row>
    <row r="908">
      <c r="G908" s="55"/>
      <c r="H908" s="55"/>
    </row>
    <row r="909">
      <c r="G909" s="55"/>
      <c r="H909" s="55"/>
    </row>
    <row r="910">
      <c r="G910" s="55"/>
      <c r="H910" s="55"/>
    </row>
    <row r="911">
      <c r="G911" s="55"/>
      <c r="H911" s="55"/>
    </row>
    <row r="912">
      <c r="G912" s="55"/>
      <c r="H912" s="55"/>
    </row>
    <row r="913">
      <c r="G913" s="55"/>
      <c r="H913" s="55"/>
    </row>
    <row r="914">
      <c r="G914" s="55"/>
      <c r="H914" s="55"/>
    </row>
    <row r="915">
      <c r="G915" s="55"/>
      <c r="H915" s="55"/>
    </row>
    <row r="916">
      <c r="G916" s="55"/>
      <c r="H916" s="55"/>
    </row>
    <row r="917">
      <c r="G917" s="55"/>
      <c r="H917" s="55"/>
    </row>
    <row r="918">
      <c r="G918" s="55"/>
      <c r="H918" s="55"/>
    </row>
    <row r="919">
      <c r="G919" s="55"/>
      <c r="H919" s="55"/>
    </row>
    <row r="920">
      <c r="G920" s="55"/>
      <c r="H920" s="55"/>
    </row>
    <row r="921">
      <c r="G921" s="55"/>
      <c r="H921" s="55"/>
    </row>
    <row r="922">
      <c r="G922" s="55"/>
      <c r="H922" s="55"/>
    </row>
    <row r="923">
      <c r="G923" s="55"/>
      <c r="H923" s="55"/>
    </row>
    <row r="924">
      <c r="G924" s="55"/>
      <c r="H924" s="55"/>
    </row>
    <row r="925">
      <c r="G925" s="55"/>
      <c r="H925" s="55"/>
    </row>
    <row r="926">
      <c r="G926" s="55"/>
      <c r="H926" s="55"/>
    </row>
    <row r="927">
      <c r="G927" s="55"/>
      <c r="H927" s="55"/>
    </row>
    <row r="928">
      <c r="G928" s="55"/>
      <c r="H928" s="55"/>
    </row>
    <row r="929">
      <c r="G929" s="55"/>
      <c r="H929" s="55"/>
    </row>
    <row r="930">
      <c r="G930" s="55"/>
      <c r="H930" s="55"/>
    </row>
    <row r="931">
      <c r="G931" s="55"/>
      <c r="H931" s="55"/>
    </row>
    <row r="932">
      <c r="G932" s="55"/>
      <c r="H932" s="55"/>
    </row>
    <row r="933">
      <c r="G933" s="55"/>
      <c r="H933" s="55"/>
    </row>
    <row r="934">
      <c r="G934" s="55"/>
      <c r="H934" s="55"/>
    </row>
    <row r="935">
      <c r="G935" s="55"/>
      <c r="H935" s="55"/>
    </row>
    <row r="936">
      <c r="G936" s="55"/>
      <c r="H936" s="55"/>
    </row>
    <row r="937">
      <c r="G937" s="55"/>
      <c r="H937" s="55"/>
    </row>
    <row r="938">
      <c r="G938" s="55"/>
      <c r="H938" s="55"/>
    </row>
    <row r="939">
      <c r="G939" s="55"/>
      <c r="H939" s="55"/>
    </row>
    <row r="940">
      <c r="G940" s="55"/>
      <c r="H940" s="55"/>
    </row>
    <row r="941">
      <c r="G941" s="55"/>
      <c r="H941" s="55"/>
    </row>
    <row r="942">
      <c r="G942" s="55"/>
      <c r="H942" s="55"/>
    </row>
    <row r="943">
      <c r="G943" s="55"/>
      <c r="H943" s="55"/>
    </row>
    <row r="944">
      <c r="G944" s="55"/>
      <c r="H944" s="55"/>
    </row>
    <row r="945">
      <c r="G945" s="55"/>
      <c r="H945" s="55"/>
    </row>
    <row r="946">
      <c r="G946" s="55"/>
      <c r="H946" s="55"/>
    </row>
    <row r="947">
      <c r="G947" s="55"/>
      <c r="H947" s="55"/>
    </row>
    <row r="948">
      <c r="G948" s="55"/>
      <c r="H948" s="55"/>
    </row>
    <row r="949">
      <c r="G949" s="55"/>
      <c r="H949" s="55"/>
    </row>
    <row r="950">
      <c r="G950" s="55"/>
      <c r="H950" s="55"/>
    </row>
    <row r="951">
      <c r="G951" s="55"/>
      <c r="H951" s="55"/>
    </row>
    <row r="952">
      <c r="G952" s="55"/>
      <c r="H952" s="55"/>
    </row>
    <row r="953">
      <c r="G953" s="55"/>
      <c r="H953" s="55"/>
    </row>
    <row r="954">
      <c r="G954" s="55"/>
      <c r="H954" s="55"/>
    </row>
    <row r="955">
      <c r="G955" s="55"/>
      <c r="H955" s="55"/>
    </row>
    <row r="956">
      <c r="G956" s="55"/>
      <c r="H956" s="55"/>
    </row>
    <row r="957">
      <c r="G957" s="55"/>
      <c r="H957" s="55"/>
    </row>
    <row r="958">
      <c r="G958" s="55"/>
      <c r="H958" s="55"/>
    </row>
    <row r="959">
      <c r="G959" s="55"/>
      <c r="H959" s="55"/>
    </row>
    <row r="960">
      <c r="G960" s="55"/>
      <c r="H960" s="55"/>
    </row>
    <row r="961">
      <c r="G961" s="55"/>
      <c r="H961" s="55"/>
    </row>
    <row r="962">
      <c r="G962" s="55"/>
      <c r="H962" s="55"/>
    </row>
    <row r="963">
      <c r="G963" s="55"/>
      <c r="H963" s="55"/>
    </row>
    <row r="964">
      <c r="G964" s="55"/>
      <c r="H964" s="55"/>
    </row>
    <row r="965">
      <c r="G965" s="55"/>
      <c r="H965" s="55"/>
    </row>
    <row r="966">
      <c r="G966" s="55"/>
      <c r="H966" s="55"/>
    </row>
    <row r="967">
      <c r="G967" s="55"/>
      <c r="H967" s="55"/>
    </row>
    <row r="968">
      <c r="G968" s="55"/>
      <c r="H968" s="55"/>
    </row>
    <row r="969">
      <c r="G969" s="55"/>
      <c r="H969" s="55"/>
    </row>
    <row r="970">
      <c r="G970" s="55"/>
      <c r="H970" s="55"/>
    </row>
    <row r="971">
      <c r="G971" s="55"/>
      <c r="H971" s="55"/>
    </row>
    <row r="972">
      <c r="G972" s="55"/>
      <c r="H972" s="55"/>
    </row>
    <row r="973">
      <c r="G973" s="55"/>
      <c r="H973" s="55"/>
    </row>
    <row r="974">
      <c r="G974" s="55"/>
      <c r="H974" s="55"/>
    </row>
    <row r="975">
      <c r="G975" s="55"/>
      <c r="H975" s="55"/>
    </row>
    <row r="976">
      <c r="G976" s="55"/>
      <c r="H976" s="55"/>
    </row>
    <row r="977">
      <c r="G977" s="55"/>
      <c r="H977" s="55"/>
    </row>
    <row r="978">
      <c r="G978" s="55"/>
      <c r="H978" s="55"/>
    </row>
    <row r="979">
      <c r="G979" s="55"/>
      <c r="H979" s="55"/>
    </row>
    <row r="980">
      <c r="G980" s="55"/>
      <c r="H980" s="55"/>
    </row>
    <row r="981">
      <c r="G981" s="55"/>
      <c r="H981" s="55"/>
    </row>
    <row r="982">
      <c r="G982" s="55"/>
      <c r="H982" s="55"/>
    </row>
    <row r="983">
      <c r="G983" s="55"/>
      <c r="H983" s="55"/>
    </row>
    <row r="984">
      <c r="G984" s="55"/>
      <c r="H984" s="55"/>
    </row>
    <row r="985">
      <c r="G985" s="55"/>
      <c r="H985" s="55"/>
    </row>
    <row r="986">
      <c r="G986" s="55"/>
      <c r="H986" s="55"/>
    </row>
    <row r="987">
      <c r="G987" s="55"/>
      <c r="H987" s="55"/>
    </row>
    <row r="988">
      <c r="G988" s="55"/>
      <c r="H988" s="55"/>
    </row>
    <row r="989">
      <c r="G989" s="55"/>
      <c r="H989" s="55"/>
    </row>
    <row r="990">
      <c r="G990" s="55"/>
      <c r="H990" s="55"/>
    </row>
    <row r="991">
      <c r="G991" s="55"/>
      <c r="H991" s="55"/>
    </row>
    <row r="992">
      <c r="G992" s="55"/>
      <c r="H992" s="55"/>
    </row>
    <row r="993">
      <c r="G993" s="55"/>
      <c r="H993" s="55"/>
    </row>
    <row r="994">
      <c r="G994" s="55"/>
      <c r="H994" s="55"/>
    </row>
    <row r="995">
      <c r="G995" s="55"/>
      <c r="H995" s="55"/>
    </row>
    <row r="996">
      <c r="G996" s="55"/>
      <c r="H996" s="55"/>
    </row>
    <row r="997">
      <c r="G997" s="55"/>
      <c r="H997" s="55"/>
    </row>
    <row r="998">
      <c r="G998" s="55"/>
      <c r="H998" s="55"/>
    </row>
    <row r="999">
      <c r="G999" s="55"/>
      <c r="H999" s="55"/>
    </row>
    <row r="1000">
      <c r="G1000" s="55"/>
      <c r="H1000" s="55"/>
    </row>
  </sheetData>
  <conditionalFormatting sqref="I1:I30 M6 I32:I1000">
    <cfRule type="cellIs" dxfId="7" priority="1" operator="lessThan">
      <formula>0</formula>
    </cfRule>
  </conditionalFormatting>
  <conditionalFormatting sqref="I1:I30 M6 I32:I1000">
    <cfRule type="notContainsBlanks" dxfId="8" priority="2">
      <formula>LEN(TRIM(I1))&gt;0</formula>
    </cfRule>
  </conditionalFormatting>
  <dataValidations>
    <dataValidation type="list" allowBlank="1" sqref="C2:C30">
      <formula1>"I PRIPREMNI RADOVI,II ZEMLJANI RADOVI,III BETONSKI I ARM. BETONSKI RADOVI,IV ARMIRAČKI RADOVI,V ČELIČNI RADOVI,VI ZIDARSKI RADOVI,VII IZOLATERSKI RADOVI,VIII FASADNA BRAVARIJA,IX BRAVARSKI RADOVI,X STOLARSKI RADOVI,XI LIMARSKI RADOVI,XII PODOPOLAGAČKI RAD"&amp;"OVI,XIII KERAMIČARSKI RADOVI,XIV KAMENOPOLAGAČKI RADOVI,XV FASADERSKI RADOVI,XVI SUVOMONTAŽNI RADOVI				,XVII MOLERSKO-FARBARSKI RADOVI				,XVIII LIFTOVSKA POSTROJENJA,XIX RAZNI ZANATSKI RADOVI,XX ZAVRŠNI RADOVI,XXI KLIMATIZACIJA I VENTILACIJA,XXII JAKA S"&amp;"TRUJA ,XXIII JAKA STRUJA GARAZA,XXIV VIO,XXV SPRINKLER,XXVI SAOBRACAJ,XXVII SIGNALIZACIJA,XXVIII SLABA STRUJA,XXIX VODOVOD I KANALIZACIJA"</formula1>
    </dataValidation>
    <dataValidation type="custom" allowBlank="1" showDropDown="1" sqref="K6:M6">
      <formula1>AND(ISNUMBER(K6),(NOT(OR(NOT(ISERROR(DATEVALUE(K6))), AND(ISNUMBER(K6), LEFT(CELL("format", K6))="D")))))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</cols>
  <sheetData>
    <row r="1" ht="22.5" customHeight="1">
      <c r="A1" s="1" t="s">
        <v>228</v>
      </c>
      <c r="B1" s="1" t="s">
        <v>66</v>
      </c>
      <c r="C1" s="1" t="s">
        <v>67</v>
      </c>
      <c r="D1" s="1" t="s">
        <v>68</v>
      </c>
      <c r="E1" s="1" t="s">
        <v>229</v>
      </c>
      <c r="F1" s="12" t="s">
        <v>106</v>
      </c>
      <c r="G1" s="12" t="s">
        <v>107</v>
      </c>
    </row>
    <row r="2" ht="22.5" customHeight="1">
      <c r="A2" s="3" t="s">
        <v>230</v>
      </c>
      <c r="B2" s="4" t="s">
        <v>231</v>
      </c>
      <c r="C2" s="4">
        <v>911.0</v>
      </c>
      <c r="D2" s="4" t="s">
        <v>232</v>
      </c>
      <c r="E2" s="4" t="s">
        <v>231</v>
      </c>
      <c r="F2" s="56"/>
      <c r="G2" s="56"/>
    </row>
    <row r="3" ht="22.5" customHeight="1">
      <c r="A3" s="3" t="s">
        <v>233</v>
      </c>
      <c r="B3" s="4" t="s">
        <v>234</v>
      </c>
      <c r="C3" s="4">
        <v>911.0</v>
      </c>
      <c r="D3" s="4" t="s">
        <v>232</v>
      </c>
    </row>
    <row r="4" ht="22.5" customHeight="1">
      <c r="A4" s="3" t="s">
        <v>235</v>
      </c>
      <c r="B4" s="4" t="s">
        <v>236</v>
      </c>
      <c r="C4" s="4">
        <v>911.0</v>
      </c>
      <c r="D4" s="4" t="s">
        <v>232</v>
      </c>
    </row>
    <row r="5" ht="22.5" customHeight="1">
      <c r="A5" s="6"/>
    </row>
    <row r="6" ht="22.5" customHeight="1">
      <c r="A6" s="6"/>
      <c r="F6" s="10"/>
      <c r="G6" s="10"/>
    </row>
    <row r="7" ht="22.5" customHeight="1">
      <c r="A7" s="6"/>
      <c r="F7" s="10"/>
      <c r="G7" s="10"/>
    </row>
    <row r="8" ht="22.5" customHeight="1">
      <c r="A8" s="6"/>
      <c r="F8" s="10"/>
      <c r="G8" s="10"/>
    </row>
    <row r="9" ht="22.5" customHeight="1">
      <c r="A9" s="6"/>
      <c r="F9" s="10"/>
      <c r="G9" s="10"/>
    </row>
    <row r="10" ht="22.5" customHeight="1">
      <c r="A10" s="6"/>
      <c r="F10" s="10"/>
      <c r="G10" s="10"/>
    </row>
    <row r="11" ht="22.5" customHeight="1">
      <c r="A11" s="6"/>
      <c r="F11" s="10"/>
      <c r="G11" s="10"/>
    </row>
    <row r="12" ht="22.5" customHeight="1">
      <c r="A12" s="6"/>
      <c r="F12" s="10"/>
      <c r="G12" s="10"/>
    </row>
    <row r="13" ht="22.5" customHeight="1">
      <c r="A13" s="6"/>
      <c r="F13" s="10"/>
      <c r="G13" s="10"/>
    </row>
    <row r="14" ht="22.5" customHeight="1">
      <c r="A14" s="6"/>
      <c r="F14" s="10"/>
      <c r="G14" s="10"/>
    </row>
    <row r="15" ht="22.5" customHeight="1">
      <c r="A15" s="6"/>
      <c r="F15" s="10"/>
      <c r="G15" s="10"/>
    </row>
    <row r="16" ht="22.5" customHeight="1">
      <c r="A16" s="6"/>
      <c r="F16" s="10"/>
      <c r="G16" s="10"/>
    </row>
    <row r="17" ht="22.5" customHeight="1">
      <c r="A17" s="6"/>
      <c r="F17" s="10"/>
      <c r="G17" s="10"/>
    </row>
    <row r="18" ht="22.5" customHeight="1">
      <c r="A18" s="6"/>
      <c r="F18" s="10"/>
      <c r="G18" s="10"/>
    </row>
    <row r="19" ht="22.5" customHeight="1">
      <c r="A19" s="6"/>
      <c r="F19" s="10"/>
      <c r="G19" s="10"/>
    </row>
    <row r="20" ht="22.5" customHeight="1">
      <c r="A20" s="6"/>
      <c r="F20" s="10"/>
      <c r="G20" s="10"/>
    </row>
    <row r="21" ht="22.5" customHeight="1">
      <c r="A21" s="6"/>
      <c r="F21" s="10"/>
      <c r="G21" s="10"/>
    </row>
    <row r="22" ht="22.5" customHeight="1">
      <c r="A22" s="6"/>
      <c r="F22" s="10"/>
      <c r="G22" s="10"/>
    </row>
    <row r="23" ht="22.5" customHeight="1">
      <c r="A23" s="6"/>
      <c r="F23" s="10"/>
      <c r="G23" s="10"/>
    </row>
    <row r="24" ht="22.5" customHeight="1">
      <c r="A24" s="6"/>
      <c r="F24" s="10"/>
      <c r="G24" s="10"/>
    </row>
    <row r="25" ht="22.5" customHeight="1">
      <c r="A25" s="6"/>
      <c r="F25" s="10"/>
      <c r="G25" s="10"/>
    </row>
    <row r="26" ht="22.5" customHeight="1">
      <c r="A26" s="6"/>
      <c r="F26" s="10"/>
      <c r="G26" s="10"/>
    </row>
  </sheetData>
  <dataValidations>
    <dataValidation type="list" allowBlank="1" sqref="A2:A26">
      <formula1>"CTR1,CTR2,CTR3"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3.38"/>
    <col customWidth="1" min="3" max="3" width="20.38"/>
    <col customWidth="1" min="4" max="4" width="20.0"/>
    <col customWidth="1" min="5" max="5" width="17.13"/>
    <col customWidth="1" min="7" max="7" width="13.5"/>
    <col customWidth="1" min="9" max="9" width="13.88"/>
    <col customWidth="1" min="10" max="10" width="16.25"/>
  </cols>
  <sheetData>
    <row r="1" ht="22.5" customHeight="1">
      <c r="A1" s="1" t="s">
        <v>237</v>
      </c>
      <c r="B1" s="1" t="s">
        <v>0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57" t="s">
        <v>243</v>
      </c>
      <c r="I1" s="17" t="s">
        <v>244</v>
      </c>
      <c r="J1" s="17" t="s">
        <v>105</v>
      </c>
    </row>
    <row r="2" ht="22.5" customHeight="1">
      <c r="A2" s="4" t="s">
        <v>245</v>
      </c>
      <c r="B2" s="4" t="s">
        <v>230</v>
      </c>
      <c r="C2" s="58" t="str">
        <f>VLOOKUP(B2, Contractors!$A$2:$B$17, 2, FALSE)</f>
        <v>Дима</v>
      </c>
      <c r="D2" s="59" t="s">
        <v>246</v>
      </c>
      <c r="E2" s="45">
        <v>100000.0</v>
      </c>
      <c r="F2" s="4">
        <v>400000.0</v>
      </c>
      <c r="G2" s="3">
        <v>-300000.0</v>
      </c>
      <c r="H2" s="60">
        <v>4.0</v>
      </c>
      <c r="I2" s="3" t="s">
        <v>247</v>
      </c>
    </row>
    <row r="3" ht="22.5" customHeight="1">
      <c r="A3" s="4" t="s">
        <v>248</v>
      </c>
      <c r="B3" s="4" t="s">
        <v>233</v>
      </c>
      <c r="C3" s="58" t="str">
        <f>VLOOKUP(B3, Contractors!$A$2:$B$17, 2, FALSE)</f>
        <v>Слава</v>
      </c>
      <c r="D3" s="59" t="s">
        <v>249</v>
      </c>
      <c r="E3" s="45">
        <v>120000.0</v>
      </c>
      <c r="F3" s="4">
        <v>100000.0</v>
      </c>
      <c r="G3" s="3">
        <v>20000.0</v>
      </c>
      <c r="H3" s="60">
        <v>0.8333333333333334</v>
      </c>
      <c r="I3" s="3" t="s">
        <v>250</v>
      </c>
    </row>
    <row r="4" ht="22.5" customHeight="1">
      <c r="A4" s="4" t="s">
        <v>251</v>
      </c>
      <c r="B4" s="4" t="s">
        <v>235</v>
      </c>
      <c r="C4" s="58" t="str">
        <f>VLOOKUP(B4, Contractors!$A$2:$B$17, 2, FALSE)</f>
        <v>Мага</v>
      </c>
      <c r="D4" s="59" t="s">
        <v>252</v>
      </c>
      <c r="E4" s="45">
        <v>150000.0</v>
      </c>
      <c r="F4" s="4">
        <v>100000.0</v>
      </c>
      <c r="G4" s="3">
        <v>50000.0</v>
      </c>
      <c r="H4" s="60">
        <v>0.6666666666666666</v>
      </c>
      <c r="I4" s="3" t="s">
        <v>250</v>
      </c>
    </row>
    <row r="5" ht="22.5" customHeight="1">
      <c r="A5" s="4" t="s">
        <v>253</v>
      </c>
      <c r="B5" s="4" t="s">
        <v>230</v>
      </c>
      <c r="C5" s="58" t="str">
        <f>VLOOKUP(B5, Contractors!$A$2:$B$17, 2, FALSE)</f>
        <v>Дима</v>
      </c>
      <c r="D5" s="59" t="s">
        <v>249</v>
      </c>
      <c r="E5" s="45">
        <v>100000.0</v>
      </c>
      <c r="F5" s="15">
        <v>100000.0</v>
      </c>
      <c r="G5" s="61">
        <v>0.0</v>
      </c>
      <c r="H5" s="60">
        <v>1.0</v>
      </c>
      <c r="I5" s="3" t="s">
        <v>247</v>
      </c>
    </row>
    <row r="6" ht="22.5" customHeight="1">
      <c r="A6" s="4" t="s">
        <v>254</v>
      </c>
      <c r="C6" s="58" t="str">
        <f>VLOOKUP(B6, Contractors!$A$2:$B$17, 2, FALSE)</f>
        <v>#N/A</v>
      </c>
      <c r="D6" s="6"/>
      <c r="E6" s="46"/>
      <c r="F6" s="15">
        <v>0.0</v>
      </c>
      <c r="G6" s="61">
        <v>0.0</v>
      </c>
      <c r="H6" s="60">
        <v>0.0</v>
      </c>
      <c r="I6" s="3" t="s">
        <v>250</v>
      </c>
    </row>
    <row r="7" ht="22.5" customHeight="1">
      <c r="A7" s="4" t="s">
        <v>255</v>
      </c>
      <c r="C7" s="58" t="str">
        <f>VLOOKUP(B7, Contractors!$A$2:$B$17, 2, FALSE)</f>
        <v>#N/A</v>
      </c>
      <c r="D7" s="6"/>
      <c r="E7" s="46"/>
      <c r="F7" s="15">
        <v>0.0</v>
      </c>
      <c r="G7" s="61">
        <v>0.0</v>
      </c>
      <c r="H7" s="60">
        <v>0.0</v>
      </c>
      <c r="I7" s="3" t="s">
        <v>250</v>
      </c>
    </row>
    <row r="8" ht="22.5" customHeight="1">
      <c r="A8" s="4" t="s">
        <v>256</v>
      </c>
      <c r="C8" s="58" t="str">
        <f>VLOOKUP(B8, Contractors!$A$2:$B$17, 2, FALSE)</f>
        <v>#N/A</v>
      </c>
      <c r="D8" s="6"/>
      <c r="E8" s="46"/>
      <c r="F8" s="15">
        <v>0.0</v>
      </c>
      <c r="G8" s="61">
        <v>0.0</v>
      </c>
      <c r="H8" s="60">
        <v>0.0</v>
      </c>
      <c r="I8" s="3" t="s">
        <v>250</v>
      </c>
    </row>
    <row r="9" ht="22.5" customHeight="1">
      <c r="A9" s="4" t="s">
        <v>257</v>
      </c>
      <c r="C9" s="58" t="str">
        <f>VLOOKUP(B9, Contractors!$A$2:$B$17, 2, FALSE)</f>
        <v>#N/A</v>
      </c>
      <c r="D9" s="6"/>
      <c r="E9" s="46"/>
      <c r="F9" s="15">
        <v>0.0</v>
      </c>
      <c r="G9" s="61">
        <v>0.0</v>
      </c>
      <c r="H9" s="60">
        <v>0.0</v>
      </c>
      <c r="I9" s="3" t="s">
        <v>250</v>
      </c>
    </row>
    <row r="10" ht="22.5" customHeight="1">
      <c r="A10" s="4" t="s">
        <v>258</v>
      </c>
      <c r="C10" s="58" t="str">
        <f>VLOOKUP(B10, Contractors!$A$2:$B$17, 2, FALSE)</f>
        <v>#N/A</v>
      </c>
      <c r="D10" s="6"/>
      <c r="E10" s="46"/>
      <c r="F10" s="15">
        <v>0.0</v>
      </c>
      <c r="G10" s="61">
        <v>0.0</v>
      </c>
      <c r="H10" s="60">
        <v>0.0</v>
      </c>
      <c r="I10" s="3" t="s">
        <v>250</v>
      </c>
    </row>
    <row r="11" ht="22.5" customHeight="1">
      <c r="A11" s="4" t="s">
        <v>259</v>
      </c>
      <c r="C11" s="58" t="str">
        <f>VLOOKUP(B11, Contractors!$A$2:$B$17, 2, FALSE)</f>
        <v>#N/A</v>
      </c>
      <c r="D11" s="6"/>
      <c r="E11" s="46"/>
      <c r="F11" s="15">
        <v>0.0</v>
      </c>
      <c r="G11" s="61">
        <v>0.0</v>
      </c>
      <c r="H11" s="60">
        <v>0.0</v>
      </c>
      <c r="I11" s="3" t="s">
        <v>250</v>
      </c>
    </row>
    <row r="12" ht="22.5" customHeight="1">
      <c r="A12" s="4" t="s">
        <v>260</v>
      </c>
      <c r="C12" s="58" t="str">
        <f>VLOOKUP(B12, Contractors!$A$2:$B$17, 2, FALSE)</f>
        <v>#N/A</v>
      </c>
      <c r="D12" s="6"/>
      <c r="E12" s="46"/>
      <c r="F12" s="15">
        <v>0.0</v>
      </c>
      <c r="G12" s="61">
        <v>0.0</v>
      </c>
      <c r="H12" s="60">
        <v>0.0</v>
      </c>
      <c r="I12" s="3" t="s">
        <v>250</v>
      </c>
    </row>
    <row r="13" ht="22.5" customHeight="1">
      <c r="A13" s="4" t="s">
        <v>261</v>
      </c>
      <c r="C13" s="58" t="str">
        <f>VLOOKUP(B13, Contractors!$A$2:$B$17, 2, FALSE)</f>
        <v>#N/A</v>
      </c>
      <c r="D13" s="6"/>
      <c r="E13" s="46"/>
      <c r="F13" s="15">
        <v>0.0</v>
      </c>
      <c r="G13" s="61">
        <v>0.0</v>
      </c>
      <c r="H13" s="60">
        <v>0.0</v>
      </c>
      <c r="I13" s="3" t="s">
        <v>250</v>
      </c>
    </row>
    <row r="14" ht="22.5" customHeight="1">
      <c r="A14" s="4" t="s">
        <v>262</v>
      </c>
      <c r="C14" s="58" t="str">
        <f>VLOOKUP(B14, Contractors!$A$2:$B$17, 2, FALSE)</f>
        <v>#N/A</v>
      </c>
      <c r="D14" s="6"/>
      <c r="E14" s="46"/>
      <c r="F14" s="15">
        <v>0.0</v>
      </c>
      <c r="G14" s="61">
        <v>0.0</v>
      </c>
      <c r="H14" s="60">
        <v>0.0</v>
      </c>
      <c r="I14" s="3" t="s">
        <v>250</v>
      </c>
    </row>
    <row r="15" ht="22.5" customHeight="1">
      <c r="A15" s="4" t="s">
        <v>263</v>
      </c>
      <c r="C15" s="58" t="str">
        <f>VLOOKUP(B15, Contractors!$A$2:$B$17, 2, FALSE)</f>
        <v>#N/A</v>
      </c>
      <c r="D15" s="6"/>
      <c r="E15" s="46"/>
      <c r="F15" s="15">
        <v>0.0</v>
      </c>
      <c r="G15" s="61">
        <v>0.0</v>
      </c>
      <c r="H15" s="60">
        <v>0.0</v>
      </c>
      <c r="I15" s="3" t="s">
        <v>250</v>
      </c>
    </row>
    <row r="16" ht="22.5" customHeight="1">
      <c r="A16" s="4" t="s">
        <v>264</v>
      </c>
      <c r="C16" s="58" t="str">
        <f>VLOOKUP(B16, Contractors!$A$2:$B$17, 2, FALSE)</f>
        <v>#N/A</v>
      </c>
      <c r="D16" s="6"/>
      <c r="E16" s="46"/>
      <c r="F16" s="15">
        <v>0.0</v>
      </c>
      <c r="G16" s="61">
        <v>0.0</v>
      </c>
      <c r="H16" s="60">
        <v>0.0</v>
      </c>
      <c r="I16" s="3" t="s">
        <v>250</v>
      </c>
    </row>
    <row r="17" ht="22.5" customHeight="1">
      <c r="D17" s="6"/>
      <c r="E17" s="46"/>
      <c r="F17" s="15">
        <v>0.0</v>
      </c>
      <c r="G17" s="61">
        <v>0.0</v>
      </c>
      <c r="H17" s="60">
        <v>0.0</v>
      </c>
      <c r="I17" s="3" t="s">
        <v>250</v>
      </c>
    </row>
    <row r="18" ht="22.5" customHeight="1">
      <c r="D18" s="6"/>
      <c r="E18" s="46"/>
      <c r="F18" s="15">
        <v>0.0</v>
      </c>
      <c r="G18" s="61">
        <v>0.0</v>
      </c>
      <c r="H18" s="60">
        <v>0.0</v>
      </c>
      <c r="I18" s="3" t="s">
        <v>250</v>
      </c>
    </row>
    <row r="19">
      <c r="H19" s="62"/>
    </row>
    <row r="20">
      <c r="H20" s="62"/>
    </row>
    <row r="21">
      <c r="H21" s="62"/>
    </row>
    <row r="22">
      <c r="H22" s="62"/>
    </row>
    <row r="23">
      <c r="H23" s="62"/>
    </row>
    <row r="24">
      <c r="H24" s="62"/>
    </row>
    <row r="25">
      <c r="H25" s="62"/>
    </row>
    <row r="26">
      <c r="H26" s="62"/>
    </row>
    <row r="27">
      <c r="H27" s="62"/>
    </row>
    <row r="28">
      <c r="H28" s="62"/>
    </row>
    <row r="29">
      <c r="H29" s="62"/>
    </row>
    <row r="30">
      <c r="H30" s="62"/>
    </row>
    <row r="31">
      <c r="H31" s="62"/>
    </row>
    <row r="32">
      <c r="H32" s="62"/>
    </row>
    <row r="33">
      <c r="H33" s="62"/>
    </row>
    <row r="34">
      <c r="H34" s="62"/>
    </row>
    <row r="35">
      <c r="H35" s="62"/>
    </row>
    <row r="36">
      <c r="H36" s="62"/>
    </row>
    <row r="37">
      <c r="H37" s="62"/>
    </row>
    <row r="38">
      <c r="H38" s="62"/>
    </row>
    <row r="39">
      <c r="H39" s="62"/>
    </row>
    <row r="40">
      <c r="H40" s="62"/>
    </row>
    <row r="41">
      <c r="H41" s="62"/>
    </row>
    <row r="42">
      <c r="H42" s="62"/>
    </row>
    <row r="43">
      <c r="H43" s="62"/>
    </row>
    <row r="44">
      <c r="H44" s="62"/>
    </row>
    <row r="45">
      <c r="H45" s="62"/>
    </row>
    <row r="46">
      <c r="H46" s="62"/>
    </row>
    <row r="47">
      <c r="H47" s="62"/>
    </row>
    <row r="48">
      <c r="H48" s="62"/>
    </row>
    <row r="49">
      <c r="H49" s="62"/>
    </row>
    <row r="50">
      <c r="H50" s="62"/>
    </row>
    <row r="51">
      <c r="H51" s="62"/>
    </row>
    <row r="52">
      <c r="H52" s="62"/>
    </row>
    <row r="53">
      <c r="H53" s="62"/>
    </row>
    <row r="54">
      <c r="H54" s="62"/>
    </row>
    <row r="55">
      <c r="H55" s="62"/>
    </row>
    <row r="56">
      <c r="H56" s="62"/>
    </row>
    <row r="57">
      <c r="H57" s="62"/>
    </row>
    <row r="58">
      <c r="H58" s="62"/>
    </row>
    <row r="59">
      <c r="H59" s="62"/>
    </row>
    <row r="60">
      <c r="H60" s="62"/>
    </row>
    <row r="61">
      <c r="H61" s="62"/>
    </row>
    <row r="62">
      <c r="H62" s="62"/>
    </row>
    <row r="63">
      <c r="H63" s="62"/>
    </row>
    <row r="64">
      <c r="H64" s="62"/>
    </row>
    <row r="65">
      <c r="H65" s="62"/>
    </row>
    <row r="66">
      <c r="H66" s="62"/>
    </row>
    <row r="67">
      <c r="H67" s="62"/>
    </row>
    <row r="68">
      <c r="H68" s="62"/>
    </row>
    <row r="69">
      <c r="H69" s="62"/>
    </row>
    <row r="70">
      <c r="H70" s="62"/>
    </row>
    <row r="71">
      <c r="H71" s="62"/>
    </row>
    <row r="72">
      <c r="H72" s="62"/>
    </row>
    <row r="73">
      <c r="H73" s="62"/>
    </row>
    <row r="74">
      <c r="H74" s="62"/>
    </row>
    <row r="75">
      <c r="H75" s="62"/>
    </row>
    <row r="76">
      <c r="H76" s="62"/>
    </row>
    <row r="77">
      <c r="H77" s="62"/>
    </row>
    <row r="78">
      <c r="H78" s="62"/>
    </row>
    <row r="79">
      <c r="H79" s="62"/>
    </row>
    <row r="80">
      <c r="H80" s="62"/>
    </row>
    <row r="81">
      <c r="H81" s="62"/>
    </row>
    <row r="82">
      <c r="H82" s="62"/>
    </row>
    <row r="83">
      <c r="H83" s="62"/>
    </row>
    <row r="84">
      <c r="H84" s="62"/>
    </row>
    <row r="85">
      <c r="H85" s="62"/>
    </row>
    <row r="86">
      <c r="H86" s="62"/>
    </row>
    <row r="87">
      <c r="H87" s="62"/>
    </row>
    <row r="88">
      <c r="H88" s="62"/>
    </row>
    <row r="89">
      <c r="H89" s="62"/>
    </row>
    <row r="90">
      <c r="H90" s="62"/>
    </row>
    <row r="91">
      <c r="H91" s="62"/>
    </row>
    <row r="92">
      <c r="H92" s="62"/>
    </row>
    <row r="93">
      <c r="H93" s="62"/>
    </row>
    <row r="94">
      <c r="H94" s="62"/>
    </row>
    <row r="95">
      <c r="H95" s="62"/>
    </row>
    <row r="96">
      <c r="H96" s="62"/>
    </row>
    <row r="97">
      <c r="H97" s="62"/>
    </row>
    <row r="98">
      <c r="H98" s="62"/>
    </row>
    <row r="99">
      <c r="H99" s="62"/>
    </row>
    <row r="100">
      <c r="H100" s="62"/>
    </row>
    <row r="101">
      <c r="H101" s="62"/>
    </row>
    <row r="102">
      <c r="H102" s="62"/>
    </row>
    <row r="103">
      <c r="H103" s="62"/>
    </row>
    <row r="104">
      <c r="H104" s="62"/>
    </row>
    <row r="105">
      <c r="H105" s="62"/>
    </row>
    <row r="106">
      <c r="H106" s="62"/>
    </row>
    <row r="107">
      <c r="H107" s="62"/>
    </row>
    <row r="108">
      <c r="H108" s="62"/>
    </row>
    <row r="109">
      <c r="H109" s="62"/>
    </row>
    <row r="110">
      <c r="H110" s="62"/>
    </row>
    <row r="111">
      <c r="H111" s="62"/>
    </row>
    <row r="112">
      <c r="H112" s="62"/>
    </row>
    <row r="113">
      <c r="H113" s="62"/>
    </row>
    <row r="114">
      <c r="H114" s="62"/>
    </row>
    <row r="115">
      <c r="H115" s="62"/>
    </row>
    <row r="116">
      <c r="H116" s="62"/>
    </row>
    <row r="117">
      <c r="H117" s="62"/>
    </row>
    <row r="118">
      <c r="H118" s="62"/>
    </row>
    <row r="119">
      <c r="H119" s="62"/>
    </row>
    <row r="120">
      <c r="H120" s="62"/>
    </row>
    <row r="121">
      <c r="H121" s="62"/>
    </row>
    <row r="122">
      <c r="H122" s="62"/>
    </row>
    <row r="123">
      <c r="H123" s="62"/>
    </row>
    <row r="124">
      <c r="H124" s="62"/>
    </row>
    <row r="125">
      <c r="H125" s="62"/>
    </row>
    <row r="126">
      <c r="H126" s="62"/>
    </row>
    <row r="127">
      <c r="H127" s="62"/>
    </row>
    <row r="128">
      <c r="H128" s="62"/>
    </row>
    <row r="129">
      <c r="H129" s="62"/>
    </row>
    <row r="130">
      <c r="H130" s="62"/>
    </row>
    <row r="131">
      <c r="H131" s="62"/>
    </row>
    <row r="132">
      <c r="H132" s="62"/>
    </row>
    <row r="133">
      <c r="H133" s="62"/>
    </row>
    <row r="134">
      <c r="H134" s="62"/>
    </row>
    <row r="135">
      <c r="H135" s="62"/>
    </row>
    <row r="136">
      <c r="H136" s="62"/>
    </row>
    <row r="137">
      <c r="H137" s="62"/>
    </row>
    <row r="138">
      <c r="H138" s="62"/>
    </row>
    <row r="139">
      <c r="H139" s="62"/>
    </row>
    <row r="140">
      <c r="H140" s="62"/>
    </row>
    <row r="141">
      <c r="H141" s="62"/>
    </row>
    <row r="142">
      <c r="H142" s="62"/>
    </row>
    <row r="143">
      <c r="H143" s="62"/>
    </row>
    <row r="144">
      <c r="H144" s="62"/>
    </row>
    <row r="145">
      <c r="H145" s="62"/>
    </row>
    <row r="146">
      <c r="H146" s="62"/>
    </row>
    <row r="147">
      <c r="H147" s="62"/>
    </row>
    <row r="148">
      <c r="H148" s="62"/>
    </row>
    <row r="149">
      <c r="H149" s="62"/>
    </row>
    <row r="150">
      <c r="H150" s="62"/>
    </row>
    <row r="151">
      <c r="H151" s="62"/>
    </row>
    <row r="152">
      <c r="H152" s="62"/>
    </row>
    <row r="153">
      <c r="H153" s="62"/>
    </row>
    <row r="154">
      <c r="H154" s="62"/>
    </row>
    <row r="155">
      <c r="H155" s="62"/>
    </row>
    <row r="156">
      <c r="H156" s="62"/>
    </row>
    <row r="157">
      <c r="H157" s="62"/>
    </row>
    <row r="158">
      <c r="H158" s="62"/>
    </row>
    <row r="159">
      <c r="H159" s="62"/>
    </row>
    <row r="160">
      <c r="H160" s="62"/>
    </row>
    <row r="161">
      <c r="H161" s="62"/>
    </row>
    <row r="162">
      <c r="H162" s="62"/>
    </row>
    <row r="163">
      <c r="H163" s="62"/>
    </row>
    <row r="164">
      <c r="H164" s="62"/>
    </row>
    <row r="165">
      <c r="H165" s="62"/>
    </row>
    <row r="166">
      <c r="H166" s="62"/>
    </row>
    <row r="167">
      <c r="H167" s="62"/>
    </row>
    <row r="168">
      <c r="H168" s="62"/>
    </row>
    <row r="169">
      <c r="H169" s="62"/>
    </row>
    <row r="170">
      <c r="H170" s="62"/>
    </row>
    <row r="171">
      <c r="H171" s="62"/>
    </row>
    <row r="172">
      <c r="H172" s="62"/>
    </row>
    <row r="173">
      <c r="H173" s="62"/>
    </row>
    <row r="174">
      <c r="H174" s="62"/>
    </row>
    <row r="175">
      <c r="H175" s="62"/>
    </row>
    <row r="176">
      <c r="H176" s="62"/>
    </row>
    <row r="177">
      <c r="H177" s="62"/>
    </row>
    <row r="178">
      <c r="H178" s="62"/>
    </row>
    <row r="179">
      <c r="H179" s="62"/>
    </row>
    <row r="180">
      <c r="H180" s="62"/>
    </row>
    <row r="181">
      <c r="H181" s="62"/>
    </row>
    <row r="182">
      <c r="H182" s="62"/>
    </row>
    <row r="183">
      <c r="H183" s="62"/>
    </row>
    <row r="184">
      <c r="H184" s="62"/>
    </row>
    <row r="185">
      <c r="H185" s="62"/>
    </row>
    <row r="186">
      <c r="H186" s="62"/>
    </row>
    <row r="187">
      <c r="H187" s="62"/>
    </row>
    <row r="188">
      <c r="H188" s="62"/>
    </row>
    <row r="189">
      <c r="H189" s="62"/>
    </row>
    <row r="190">
      <c r="H190" s="62"/>
    </row>
    <row r="191">
      <c r="H191" s="62"/>
    </row>
    <row r="192">
      <c r="H192" s="62"/>
    </row>
    <row r="193">
      <c r="H193" s="62"/>
    </row>
    <row r="194">
      <c r="H194" s="62"/>
    </row>
    <row r="195">
      <c r="H195" s="62"/>
    </row>
    <row r="196">
      <c r="H196" s="62"/>
    </row>
    <row r="197">
      <c r="H197" s="62"/>
    </row>
    <row r="198">
      <c r="H198" s="62"/>
    </row>
    <row r="199">
      <c r="H199" s="62"/>
    </row>
    <row r="200">
      <c r="H200" s="62"/>
    </row>
    <row r="201">
      <c r="H201" s="62"/>
    </row>
    <row r="202">
      <c r="H202" s="62"/>
    </row>
    <row r="203">
      <c r="H203" s="62"/>
    </row>
    <row r="204">
      <c r="H204" s="62"/>
    </row>
    <row r="205">
      <c r="H205" s="62"/>
    </row>
    <row r="206">
      <c r="H206" s="62"/>
    </row>
    <row r="207">
      <c r="H207" s="62"/>
    </row>
    <row r="208">
      <c r="H208" s="62"/>
    </row>
    <row r="209">
      <c r="H209" s="62"/>
    </row>
    <row r="210">
      <c r="H210" s="62"/>
    </row>
    <row r="211">
      <c r="H211" s="62"/>
    </row>
    <row r="212">
      <c r="H212" s="62"/>
    </row>
    <row r="213">
      <c r="H213" s="62"/>
    </row>
    <row r="214">
      <c r="H214" s="62"/>
    </row>
    <row r="215">
      <c r="H215" s="62"/>
    </row>
    <row r="216">
      <c r="H216" s="62"/>
    </row>
    <row r="217">
      <c r="H217" s="62"/>
    </row>
    <row r="218">
      <c r="H218" s="62"/>
    </row>
    <row r="219">
      <c r="H219" s="62"/>
    </row>
    <row r="220">
      <c r="H220" s="62"/>
    </row>
    <row r="221">
      <c r="H221" s="62"/>
    </row>
    <row r="222">
      <c r="H222" s="62"/>
    </row>
    <row r="223">
      <c r="H223" s="62"/>
    </row>
    <row r="224">
      <c r="H224" s="62"/>
    </row>
    <row r="225">
      <c r="H225" s="62"/>
    </row>
    <row r="226">
      <c r="H226" s="62"/>
    </row>
    <row r="227">
      <c r="H227" s="62"/>
    </row>
    <row r="228">
      <c r="H228" s="62"/>
    </row>
    <row r="229">
      <c r="H229" s="62"/>
    </row>
    <row r="230">
      <c r="H230" s="62"/>
    </row>
    <row r="231">
      <c r="H231" s="62"/>
    </row>
    <row r="232">
      <c r="H232" s="62"/>
    </row>
    <row r="233">
      <c r="H233" s="62"/>
    </row>
    <row r="234">
      <c r="H234" s="62"/>
    </row>
    <row r="235">
      <c r="H235" s="62"/>
    </row>
    <row r="236">
      <c r="H236" s="62"/>
    </row>
    <row r="237">
      <c r="H237" s="62"/>
    </row>
    <row r="238">
      <c r="H238" s="62"/>
    </row>
    <row r="239">
      <c r="H239" s="62"/>
    </row>
    <row r="240">
      <c r="H240" s="62"/>
    </row>
    <row r="241">
      <c r="H241" s="62"/>
    </row>
    <row r="242">
      <c r="H242" s="62"/>
    </row>
    <row r="243">
      <c r="H243" s="62"/>
    </row>
    <row r="244">
      <c r="H244" s="62"/>
    </row>
    <row r="245">
      <c r="H245" s="62"/>
    </row>
    <row r="246">
      <c r="H246" s="62"/>
    </row>
    <row r="247">
      <c r="H247" s="62"/>
    </row>
    <row r="248">
      <c r="H248" s="62"/>
    </row>
    <row r="249">
      <c r="H249" s="62"/>
    </row>
    <row r="250">
      <c r="H250" s="62"/>
    </row>
    <row r="251">
      <c r="H251" s="62"/>
    </row>
    <row r="252">
      <c r="H252" s="62"/>
    </row>
    <row r="253">
      <c r="H253" s="62"/>
    </row>
    <row r="254">
      <c r="H254" s="62"/>
    </row>
    <row r="255">
      <c r="H255" s="62"/>
    </row>
    <row r="256">
      <c r="H256" s="62"/>
    </row>
    <row r="257">
      <c r="H257" s="62"/>
    </row>
    <row r="258">
      <c r="H258" s="62"/>
    </row>
    <row r="259">
      <c r="H259" s="62"/>
    </row>
    <row r="260">
      <c r="H260" s="62"/>
    </row>
    <row r="261">
      <c r="H261" s="62"/>
    </row>
    <row r="262">
      <c r="H262" s="62"/>
    </row>
    <row r="263">
      <c r="H263" s="62"/>
    </row>
    <row r="264">
      <c r="H264" s="62"/>
    </row>
    <row r="265">
      <c r="H265" s="62"/>
    </row>
    <row r="266">
      <c r="H266" s="62"/>
    </row>
    <row r="267">
      <c r="H267" s="62"/>
    </row>
    <row r="268">
      <c r="H268" s="62"/>
    </row>
    <row r="269">
      <c r="H269" s="62"/>
    </row>
    <row r="270">
      <c r="H270" s="62"/>
    </row>
    <row r="271">
      <c r="H271" s="62"/>
    </row>
    <row r="272">
      <c r="H272" s="62"/>
    </row>
    <row r="273">
      <c r="H273" s="62"/>
    </row>
    <row r="274">
      <c r="H274" s="62"/>
    </row>
    <row r="275">
      <c r="H275" s="62"/>
    </row>
    <row r="276">
      <c r="H276" s="62"/>
    </row>
    <row r="277">
      <c r="H277" s="62"/>
    </row>
    <row r="278">
      <c r="H278" s="62"/>
    </row>
    <row r="279">
      <c r="H279" s="62"/>
    </row>
    <row r="280">
      <c r="H280" s="62"/>
    </row>
    <row r="281">
      <c r="H281" s="62"/>
    </row>
    <row r="282">
      <c r="H282" s="62"/>
    </row>
    <row r="283">
      <c r="H283" s="62"/>
    </row>
    <row r="284">
      <c r="H284" s="62"/>
    </row>
    <row r="285">
      <c r="H285" s="62"/>
    </row>
    <row r="286">
      <c r="H286" s="62"/>
    </row>
    <row r="287">
      <c r="H287" s="62"/>
    </row>
    <row r="288">
      <c r="H288" s="62"/>
    </row>
    <row r="289">
      <c r="H289" s="62"/>
    </row>
    <row r="290">
      <c r="H290" s="62"/>
    </row>
    <row r="291">
      <c r="H291" s="62"/>
    </row>
    <row r="292">
      <c r="H292" s="62"/>
    </row>
    <row r="293">
      <c r="H293" s="62"/>
    </row>
    <row r="294">
      <c r="H294" s="62"/>
    </row>
    <row r="295">
      <c r="H295" s="62"/>
    </row>
    <row r="296">
      <c r="H296" s="62"/>
    </row>
    <row r="297">
      <c r="H297" s="62"/>
    </row>
    <row r="298">
      <c r="H298" s="62"/>
    </row>
    <row r="299">
      <c r="H299" s="62"/>
    </row>
    <row r="300">
      <c r="H300" s="62"/>
    </row>
    <row r="301">
      <c r="H301" s="62"/>
    </row>
    <row r="302">
      <c r="H302" s="62"/>
    </row>
    <row r="303">
      <c r="H303" s="62"/>
    </row>
    <row r="304">
      <c r="H304" s="62"/>
    </row>
    <row r="305">
      <c r="H305" s="62"/>
    </row>
    <row r="306">
      <c r="H306" s="62"/>
    </row>
    <row r="307">
      <c r="H307" s="62"/>
    </row>
    <row r="308">
      <c r="H308" s="62"/>
    </row>
    <row r="309">
      <c r="H309" s="62"/>
    </row>
    <row r="310">
      <c r="H310" s="62"/>
    </row>
    <row r="311">
      <c r="H311" s="62"/>
    </row>
    <row r="312">
      <c r="H312" s="62"/>
    </row>
    <row r="313">
      <c r="H313" s="62"/>
    </row>
    <row r="314">
      <c r="H314" s="62"/>
    </row>
    <row r="315">
      <c r="H315" s="62"/>
    </row>
    <row r="316">
      <c r="H316" s="62"/>
    </row>
    <row r="317">
      <c r="H317" s="62"/>
    </row>
    <row r="318">
      <c r="H318" s="62"/>
    </row>
    <row r="319">
      <c r="H319" s="62"/>
    </row>
    <row r="320">
      <c r="H320" s="62"/>
    </row>
    <row r="321">
      <c r="H321" s="62"/>
    </row>
    <row r="322">
      <c r="H322" s="62"/>
    </row>
    <row r="323">
      <c r="H323" s="62"/>
    </row>
    <row r="324">
      <c r="H324" s="62"/>
    </row>
    <row r="325">
      <c r="H325" s="62"/>
    </row>
    <row r="326">
      <c r="H326" s="62"/>
    </row>
    <row r="327">
      <c r="H327" s="62"/>
    </row>
    <row r="328">
      <c r="H328" s="62"/>
    </row>
    <row r="329">
      <c r="H329" s="62"/>
    </row>
    <row r="330">
      <c r="H330" s="62"/>
    </row>
    <row r="331">
      <c r="H331" s="62"/>
    </row>
    <row r="332">
      <c r="H332" s="62"/>
    </row>
    <row r="333">
      <c r="H333" s="62"/>
    </row>
    <row r="334">
      <c r="H334" s="62"/>
    </row>
    <row r="335">
      <c r="H335" s="62"/>
    </row>
    <row r="336">
      <c r="H336" s="62"/>
    </row>
    <row r="337">
      <c r="H337" s="62"/>
    </row>
    <row r="338">
      <c r="H338" s="62"/>
    </row>
    <row r="339">
      <c r="H339" s="62"/>
    </row>
    <row r="340">
      <c r="H340" s="62"/>
    </row>
    <row r="341">
      <c r="H341" s="62"/>
    </row>
    <row r="342">
      <c r="H342" s="62"/>
    </row>
    <row r="343">
      <c r="H343" s="62"/>
    </row>
    <row r="344">
      <c r="H344" s="62"/>
    </row>
    <row r="345">
      <c r="H345" s="62"/>
    </row>
    <row r="346">
      <c r="H346" s="62"/>
    </row>
    <row r="347">
      <c r="H347" s="62"/>
    </row>
    <row r="348">
      <c r="H348" s="62"/>
    </row>
    <row r="349">
      <c r="H349" s="62"/>
    </row>
    <row r="350">
      <c r="H350" s="62"/>
    </row>
    <row r="351">
      <c r="H351" s="62"/>
    </row>
    <row r="352">
      <c r="H352" s="62"/>
    </row>
    <row r="353">
      <c r="H353" s="62"/>
    </row>
    <row r="354">
      <c r="H354" s="62"/>
    </row>
    <row r="355">
      <c r="H355" s="62"/>
    </row>
    <row r="356">
      <c r="H356" s="62"/>
    </row>
    <row r="357">
      <c r="H357" s="62"/>
    </row>
    <row r="358">
      <c r="H358" s="62"/>
    </row>
    <row r="359">
      <c r="H359" s="62"/>
    </row>
    <row r="360">
      <c r="H360" s="62"/>
    </row>
    <row r="361">
      <c r="H361" s="62"/>
    </row>
    <row r="362">
      <c r="H362" s="62"/>
    </row>
    <row r="363">
      <c r="H363" s="62"/>
    </row>
    <row r="364">
      <c r="H364" s="62"/>
    </row>
    <row r="365">
      <c r="H365" s="62"/>
    </row>
    <row r="366">
      <c r="H366" s="62"/>
    </row>
    <row r="367">
      <c r="H367" s="62"/>
    </row>
    <row r="368">
      <c r="H368" s="62"/>
    </row>
    <row r="369">
      <c r="H369" s="62"/>
    </row>
    <row r="370">
      <c r="H370" s="62"/>
    </row>
    <row r="371">
      <c r="H371" s="62"/>
    </row>
    <row r="372">
      <c r="H372" s="62"/>
    </row>
    <row r="373">
      <c r="H373" s="62"/>
    </row>
    <row r="374">
      <c r="H374" s="62"/>
    </row>
    <row r="375">
      <c r="H375" s="62"/>
    </row>
    <row r="376">
      <c r="H376" s="62"/>
    </row>
    <row r="377">
      <c r="H377" s="62"/>
    </row>
    <row r="378">
      <c r="H378" s="62"/>
    </row>
    <row r="379">
      <c r="H379" s="62"/>
    </row>
    <row r="380">
      <c r="H380" s="62"/>
    </row>
    <row r="381">
      <c r="H381" s="62"/>
    </row>
    <row r="382">
      <c r="H382" s="62"/>
    </row>
    <row r="383">
      <c r="H383" s="62"/>
    </row>
    <row r="384">
      <c r="H384" s="62"/>
    </row>
    <row r="385">
      <c r="H385" s="62"/>
    </row>
    <row r="386">
      <c r="H386" s="62"/>
    </row>
    <row r="387">
      <c r="H387" s="62"/>
    </row>
    <row r="388">
      <c r="H388" s="62"/>
    </row>
    <row r="389">
      <c r="H389" s="62"/>
    </row>
    <row r="390">
      <c r="H390" s="62"/>
    </row>
    <row r="391">
      <c r="H391" s="62"/>
    </row>
    <row r="392">
      <c r="H392" s="62"/>
    </row>
    <row r="393">
      <c r="H393" s="62"/>
    </row>
    <row r="394">
      <c r="H394" s="62"/>
    </row>
    <row r="395">
      <c r="H395" s="62"/>
    </row>
    <row r="396">
      <c r="H396" s="62"/>
    </row>
    <row r="397">
      <c r="H397" s="62"/>
    </row>
    <row r="398">
      <c r="H398" s="62"/>
    </row>
    <row r="399">
      <c r="H399" s="62"/>
    </row>
    <row r="400">
      <c r="H400" s="62"/>
    </row>
    <row r="401">
      <c r="H401" s="62"/>
    </row>
    <row r="402">
      <c r="H402" s="62"/>
    </row>
    <row r="403">
      <c r="H403" s="62"/>
    </row>
    <row r="404">
      <c r="H404" s="62"/>
    </row>
    <row r="405">
      <c r="H405" s="62"/>
    </row>
    <row r="406">
      <c r="H406" s="62"/>
    </row>
    <row r="407">
      <c r="H407" s="62"/>
    </row>
    <row r="408">
      <c r="H408" s="62"/>
    </row>
    <row r="409">
      <c r="H409" s="62"/>
    </row>
    <row r="410">
      <c r="H410" s="62"/>
    </row>
    <row r="411">
      <c r="H411" s="62"/>
    </row>
    <row r="412">
      <c r="H412" s="62"/>
    </row>
    <row r="413">
      <c r="H413" s="62"/>
    </row>
    <row r="414">
      <c r="H414" s="62"/>
    </row>
    <row r="415">
      <c r="H415" s="62"/>
    </row>
    <row r="416">
      <c r="H416" s="62"/>
    </row>
    <row r="417">
      <c r="H417" s="62"/>
    </row>
    <row r="418">
      <c r="H418" s="62"/>
    </row>
    <row r="419">
      <c r="H419" s="62"/>
    </row>
    <row r="420">
      <c r="H420" s="62"/>
    </row>
    <row r="421">
      <c r="H421" s="62"/>
    </row>
    <row r="422">
      <c r="H422" s="62"/>
    </row>
    <row r="423">
      <c r="H423" s="62"/>
    </row>
    <row r="424">
      <c r="H424" s="62"/>
    </row>
    <row r="425">
      <c r="H425" s="62"/>
    </row>
    <row r="426">
      <c r="H426" s="62"/>
    </row>
    <row r="427">
      <c r="H427" s="62"/>
    </row>
    <row r="428">
      <c r="H428" s="62"/>
    </row>
    <row r="429">
      <c r="H429" s="62"/>
    </row>
    <row r="430">
      <c r="H430" s="62"/>
    </row>
    <row r="431">
      <c r="H431" s="62"/>
    </row>
    <row r="432">
      <c r="H432" s="62"/>
    </row>
    <row r="433">
      <c r="H433" s="62"/>
    </row>
    <row r="434">
      <c r="H434" s="62"/>
    </row>
    <row r="435">
      <c r="H435" s="62"/>
    </row>
    <row r="436">
      <c r="H436" s="62"/>
    </row>
    <row r="437">
      <c r="H437" s="62"/>
    </row>
    <row r="438">
      <c r="H438" s="62"/>
    </row>
    <row r="439">
      <c r="H439" s="62"/>
    </row>
    <row r="440">
      <c r="H440" s="62"/>
    </row>
    <row r="441">
      <c r="H441" s="62"/>
    </row>
    <row r="442">
      <c r="H442" s="62"/>
    </row>
    <row r="443">
      <c r="H443" s="62"/>
    </row>
    <row r="444">
      <c r="H444" s="62"/>
    </row>
    <row r="445">
      <c r="H445" s="62"/>
    </row>
    <row r="446">
      <c r="H446" s="62"/>
    </row>
    <row r="447">
      <c r="H447" s="62"/>
    </row>
    <row r="448">
      <c r="H448" s="62"/>
    </row>
    <row r="449">
      <c r="H449" s="62"/>
    </row>
    <row r="450">
      <c r="H450" s="62"/>
    </row>
    <row r="451">
      <c r="H451" s="62"/>
    </row>
    <row r="452">
      <c r="H452" s="62"/>
    </row>
    <row r="453">
      <c r="H453" s="62"/>
    </row>
    <row r="454">
      <c r="H454" s="62"/>
    </row>
    <row r="455">
      <c r="H455" s="62"/>
    </row>
    <row r="456">
      <c r="H456" s="62"/>
    </row>
    <row r="457">
      <c r="H457" s="62"/>
    </row>
    <row r="458">
      <c r="H458" s="62"/>
    </row>
    <row r="459">
      <c r="H459" s="62"/>
    </row>
    <row r="460">
      <c r="H460" s="62"/>
    </row>
    <row r="461">
      <c r="H461" s="62"/>
    </row>
    <row r="462">
      <c r="H462" s="62"/>
    </row>
    <row r="463">
      <c r="H463" s="62"/>
    </row>
    <row r="464">
      <c r="H464" s="62"/>
    </row>
    <row r="465">
      <c r="H465" s="62"/>
    </row>
    <row r="466">
      <c r="H466" s="62"/>
    </row>
    <row r="467">
      <c r="H467" s="62"/>
    </row>
    <row r="468">
      <c r="H468" s="62"/>
    </row>
    <row r="469">
      <c r="H469" s="62"/>
    </row>
    <row r="470">
      <c r="H470" s="62"/>
    </row>
    <row r="471">
      <c r="H471" s="62"/>
    </row>
    <row r="472">
      <c r="H472" s="62"/>
    </row>
    <row r="473">
      <c r="H473" s="62"/>
    </row>
    <row r="474">
      <c r="H474" s="62"/>
    </row>
    <row r="475">
      <c r="H475" s="62"/>
    </row>
    <row r="476">
      <c r="H476" s="62"/>
    </row>
    <row r="477">
      <c r="H477" s="62"/>
    </row>
    <row r="478">
      <c r="H478" s="62"/>
    </row>
    <row r="479">
      <c r="H479" s="62"/>
    </row>
    <row r="480">
      <c r="H480" s="62"/>
    </row>
    <row r="481">
      <c r="H481" s="62"/>
    </row>
    <row r="482">
      <c r="H482" s="62"/>
    </row>
    <row r="483">
      <c r="H483" s="62"/>
    </row>
    <row r="484">
      <c r="H484" s="62"/>
    </row>
    <row r="485">
      <c r="H485" s="62"/>
    </row>
    <row r="486">
      <c r="H486" s="62"/>
    </row>
    <row r="487">
      <c r="H487" s="62"/>
    </row>
    <row r="488">
      <c r="H488" s="62"/>
    </row>
    <row r="489">
      <c r="H489" s="62"/>
    </row>
    <row r="490">
      <c r="H490" s="62"/>
    </row>
    <row r="491">
      <c r="H491" s="62"/>
    </row>
    <row r="492">
      <c r="H492" s="62"/>
    </row>
    <row r="493">
      <c r="H493" s="62"/>
    </row>
    <row r="494">
      <c r="H494" s="62"/>
    </row>
    <row r="495">
      <c r="H495" s="62"/>
    </row>
    <row r="496">
      <c r="H496" s="62"/>
    </row>
    <row r="497">
      <c r="H497" s="62"/>
    </row>
    <row r="498">
      <c r="H498" s="62"/>
    </row>
    <row r="499">
      <c r="H499" s="62"/>
    </row>
    <row r="500">
      <c r="H500" s="62"/>
    </row>
    <row r="501">
      <c r="H501" s="62"/>
    </row>
    <row r="502">
      <c r="H502" s="62"/>
    </row>
    <row r="503">
      <c r="H503" s="62"/>
    </row>
    <row r="504">
      <c r="H504" s="62"/>
    </row>
    <row r="505">
      <c r="H505" s="62"/>
    </row>
    <row r="506">
      <c r="H506" s="62"/>
    </row>
    <row r="507">
      <c r="H507" s="62"/>
    </row>
    <row r="508">
      <c r="H508" s="62"/>
    </row>
    <row r="509">
      <c r="H509" s="62"/>
    </row>
    <row r="510">
      <c r="H510" s="62"/>
    </row>
    <row r="511">
      <c r="H511" s="62"/>
    </row>
    <row r="512">
      <c r="H512" s="62"/>
    </row>
    <row r="513">
      <c r="H513" s="62"/>
    </row>
    <row r="514">
      <c r="H514" s="62"/>
    </row>
    <row r="515">
      <c r="H515" s="62"/>
    </row>
    <row r="516">
      <c r="H516" s="62"/>
    </row>
    <row r="517">
      <c r="H517" s="62"/>
    </row>
    <row r="518">
      <c r="H518" s="62"/>
    </row>
    <row r="519">
      <c r="H519" s="62"/>
    </row>
    <row r="520">
      <c r="H520" s="62"/>
    </row>
    <row r="521">
      <c r="H521" s="62"/>
    </row>
    <row r="522">
      <c r="H522" s="62"/>
    </row>
    <row r="523">
      <c r="H523" s="62"/>
    </row>
    <row r="524">
      <c r="H524" s="62"/>
    </row>
    <row r="525">
      <c r="H525" s="62"/>
    </row>
    <row r="526">
      <c r="H526" s="62"/>
    </row>
    <row r="527">
      <c r="H527" s="62"/>
    </row>
    <row r="528">
      <c r="H528" s="62"/>
    </row>
    <row r="529">
      <c r="H529" s="62"/>
    </row>
    <row r="530">
      <c r="H530" s="62"/>
    </row>
    <row r="531">
      <c r="H531" s="62"/>
    </row>
    <row r="532">
      <c r="H532" s="62"/>
    </row>
    <row r="533">
      <c r="H533" s="62"/>
    </row>
    <row r="534">
      <c r="H534" s="62"/>
    </row>
    <row r="535">
      <c r="H535" s="62"/>
    </row>
    <row r="536">
      <c r="H536" s="62"/>
    </row>
    <row r="537">
      <c r="H537" s="62"/>
    </row>
    <row r="538">
      <c r="H538" s="62"/>
    </row>
    <row r="539">
      <c r="H539" s="62"/>
    </row>
    <row r="540">
      <c r="H540" s="62"/>
    </row>
    <row r="541">
      <c r="H541" s="62"/>
    </row>
    <row r="542">
      <c r="H542" s="62"/>
    </row>
    <row r="543">
      <c r="H543" s="62"/>
    </row>
    <row r="544">
      <c r="H544" s="62"/>
    </row>
    <row r="545">
      <c r="H545" s="62"/>
    </row>
    <row r="546">
      <c r="H546" s="62"/>
    </row>
    <row r="547">
      <c r="H547" s="62"/>
    </row>
    <row r="548">
      <c r="H548" s="62"/>
    </row>
    <row r="549">
      <c r="H549" s="62"/>
    </row>
    <row r="550">
      <c r="H550" s="62"/>
    </row>
    <row r="551">
      <c r="H551" s="62"/>
    </row>
    <row r="552">
      <c r="H552" s="62"/>
    </row>
    <row r="553">
      <c r="H553" s="62"/>
    </row>
    <row r="554">
      <c r="H554" s="62"/>
    </row>
    <row r="555">
      <c r="H555" s="62"/>
    </row>
    <row r="556">
      <c r="H556" s="62"/>
    </row>
    <row r="557">
      <c r="H557" s="62"/>
    </row>
    <row r="558">
      <c r="H558" s="62"/>
    </row>
    <row r="559">
      <c r="H559" s="62"/>
    </row>
    <row r="560">
      <c r="H560" s="62"/>
    </row>
    <row r="561">
      <c r="H561" s="62"/>
    </row>
    <row r="562">
      <c r="H562" s="62"/>
    </row>
    <row r="563">
      <c r="H563" s="62"/>
    </row>
    <row r="564">
      <c r="H564" s="62"/>
    </row>
    <row r="565">
      <c r="H565" s="62"/>
    </row>
    <row r="566">
      <c r="H566" s="62"/>
    </row>
    <row r="567">
      <c r="H567" s="62"/>
    </row>
    <row r="568">
      <c r="H568" s="62"/>
    </row>
    <row r="569">
      <c r="H569" s="62"/>
    </row>
    <row r="570">
      <c r="H570" s="62"/>
    </row>
    <row r="571">
      <c r="H571" s="62"/>
    </row>
    <row r="572">
      <c r="H572" s="62"/>
    </row>
    <row r="573">
      <c r="H573" s="62"/>
    </row>
    <row r="574">
      <c r="H574" s="62"/>
    </row>
    <row r="575">
      <c r="H575" s="62"/>
    </row>
    <row r="576">
      <c r="H576" s="62"/>
    </row>
    <row r="577">
      <c r="H577" s="62"/>
    </row>
    <row r="578">
      <c r="H578" s="62"/>
    </row>
    <row r="579">
      <c r="H579" s="62"/>
    </row>
    <row r="580">
      <c r="H580" s="62"/>
    </row>
    <row r="581">
      <c r="H581" s="62"/>
    </row>
    <row r="582">
      <c r="H582" s="62"/>
    </row>
    <row r="583">
      <c r="H583" s="62"/>
    </row>
    <row r="584">
      <c r="H584" s="62"/>
    </row>
    <row r="585">
      <c r="H585" s="62"/>
    </row>
    <row r="586">
      <c r="H586" s="62"/>
    </row>
    <row r="587">
      <c r="H587" s="62"/>
    </row>
    <row r="588">
      <c r="H588" s="62"/>
    </row>
    <row r="589">
      <c r="H589" s="62"/>
    </row>
    <row r="590">
      <c r="H590" s="62"/>
    </row>
    <row r="591">
      <c r="H591" s="62"/>
    </row>
    <row r="592">
      <c r="H592" s="62"/>
    </row>
    <row r="593">
      <c r="H593" s="62"/>
    </row>
    <row r="594">
      <c r="H594" s="62"/>
    </row>
    <row r="595">
      <c r="H595" s="62"/>
    </row>
    <row r="596">
      <c r="H596" s="62"/>
    </row>
    <row r="597">
      <c r="H597" s="62"/>
    </row>
    <row r="598">
      <c r="H598" s="62"/>
    </row>
    <row r="599">
      <c r="H599" s="62"/>
    </row>
    <row r="600">
      <c r="H600" s="62"/>
    </row>
    <row r="601">
      <c r="H601" s="62"/>
    </row>
    <row r="602">
      <c r="H602" s="62"/>
    </row>
    <row r="603">
      <c r="H603" s="62"/>
    </row>
    <row r="604">
      <c r="H604" s="62"/>
    </row>
    <row r="605">
      <c r="H605" s="62"/>
    </row>
    <row r="606">
      <c r="H606" s="62"/>
    </row>
    <row r="607">
      <c r="H607" s="62"/>
    </row>
    <row r="608">
      <c r="H608" s="62"/>
    </row>
    <row r="609">
      <c r="H609" s="62"/>
    </row>
    <row r="610">
      <c r="H610" s="62"/>
    </row>
    <row r="611">
      <c r="H611" s="62"/>
    </row>
    <row r="612">
      <c r="H612" s="62"/>
    </row>
    <row r="613">
      <c r="H613" s="62"/>
    </row>
    <row r="614">
      <c r="H614" s="62"/>
    </row>
    <row r="615">
      <c r="H615" s="62"/>
    </row>
    <row r="616">
      <c r="H616" s="62"/>
    </row>
    <row r="617">
      <c r="H617" s="62"/>
    </row>
    <row r="618">
      <c r="H618" s="62"/>
    </row>
    <row r="619">
      <c r="H619" s="62"/>
    </row>
    <row r="620">
      <c r="H620" s="62"/>
    </row>
    <row r="621">
      <c r="H621" s="62"/>
    </row>
    <row r="622">
      <c r="H622" s="62"/>
    </row>
    <row r="623">
      <c r="H623" s="62"/>
    </row>
    <row r="624">
      <c r="H624" s="62"/>
    </row>
    <row r="625">
      <c r="H625" s="62"/>
    </row>
    <row r="626">
      <c r="H626" s="62"/>
    </row>
    <row r="627">
      <c r="H627" s="62"/>
    </row>
    <row r="628">
      <c r="H628" s="62"/>
    </row>
    <row r="629">
      <c r="H629" s="62"/>
    </row>
    <row r="630">
      <c r="H630" s="62"/>
    </row>
    <row r="631">
      <c r="H631" s="62"/>
    </row>
    <row r="632">
      <c r="H632" s="62"/>
    </row>
    <row r="633">
      <c r="H633" s="62"/>
    </row>
    <row r="634">
      <c r="H634" s="62"/>
    </row>
    <row r="635">
      <c r="H635" s="62"/>
    </row>
    <row r="636">
      <c r="H636" s="62"/>
    </row>
    <row r="637">
      <c r="H637" s="62"/>
    </row>
    <row r="638">
      <c r="H638" s="62"/>
    </row>
    <row r="639">
      <c r="H639" s="62"/>
    </row>
    <row r="640">
      <c r="H640" s="62"/>
    </row>
    <row r="641">
      <c r="H641" s="62"/>
    </row>
    <row r="642">
      <c r="H642" s="62"/>
    </row>
    <row r="643">
      <c r="H643" s="62"/>
    </row>
    <row r="644">
      <c r="H644" s="62"/>
    </row>
    <row r="645">
      <c r="H645" s="62"/>
    </row>
    <row r="646">
      <c r="H646" s="62"/>
    </row>
    <row r="647">
      <c r="H647" s="62"/>
    </row>
    <row r="648">
      <c r="H648" s="62"/>
    </row>
    <row r="649">
      <c r="H649" s="62"/>
    </row>
    <row r="650">
      <c r="H650" s="62"/>
    </row>
    <row r="651">
      <c r="H651" s="62"/>
    </row>
    <row r="652">
      <c r="H652" s="62"/>
    </row>
    <row r="653">
      <c r="H653" s="62"/>
    </row>
    <row r="654">
      <c r="H654" s="62"/>
    </row>
    <row r="655">
      <c r="H655" s="62"/>
    </row>
    <row r="656">
      <c r="H656" s="62"/>
    </row>
    <row r="657">
      <c r="H657" s="62"/>
    </row>
    <row r="658">
      <c r="H658" s="62"/>
    </row>
    <row r="659">
      <c r="H659" s="62"/>
    </row>
    <row r="660">
      <c r="H660" s="62"/>
    </row>
    <row r="661">
      <c r="H661" s="62"/>
    </row>
    <row r="662">
      <c r="H662" s="62"/>
    </row>
    <row r="663">
      <c r="H663" s="62"/>
    </row>
    <row r="664">
      <c r="H664" s="62"/>
    </row>
    <row r="665">
      <c r="H665" s="62"/>
    </row>
    <row r="666">
      <c r="H666" s="62"/>
    </row>
    <row r="667">
      <c r="H667" s="62"/>
    </row>
    <row r="668">
      <c r="H668" s="62"/>
    </row>
    <row r="669">
      <c r="H669" s="62"/>
    </row>
    <row r="670">
      <c r="H670" s="62"/>
    </row>
    <row r="671">
      <c r="H671" s="62"/>
    </row>
    <row r="672">
      <c r="H672" s="62"/>
    </row>
    <row r="673">
      <c r="H673" s="62"/>
    </row>
    <row r="674">
      <c r="H674" s="62"/>
    </row>
    <row r="675">
      <c r="H675" s="62"/>
    </row>
    <row r="676">
      <c r="H676" s="62"/>
    </row>
    <row r="677">
      <c r="H677" s="62"/>
    </row>
    <row r="678">
      <c r="H678" s="62"/>
    </row>
    <row r="679">
      <c r="H679" s="62"/>
    </row>
    <row r="680">
      <c r="H680" s="62"/>
    </row>
    <row r="681">
      <c r="H681" s="62"/>
    </row>
    <row r="682">
      <c r="H682" s="62"/>
    </row>
    <row r="683">
      <c r="H683" s="62"/>
    </row>
    <row r="684">
      <c r="H684" s="62"/>
    </row>
    <row r="685">
      <c r="H685" s="62"/>
    </row>
    <row r="686">
      <c r="H686" s="62"/>
    </row>
    <row r="687">
      <c r="H687" s="62"/>
    </row>
    <row r="688">
      <c r="H688" s="62"/>
    </row>
    <row r="689">
      <c r="H689" s="62"/>
    </row>
    <row r="690">
      <c r="H690" s="62"/>
    </row>
    <row r="691">
      <c r="H691" s="62"/>
    </row>
    <row r="692">
      <c r="H692" s="62"/>
    </row>
    <row r="693">
      <c r="H693" s="62"/>
    </row>
    <row r="694">
      <c r="H694" s="62"/>
    </row>
    <row r="695">
      <c r="H695" s="62"/>
    </row>
    <row r="696">
      <c r="H696" s="62"/>
    </row>
    <row r="697">
      <c r="H697" s="62"/>
    </row>
    <row r="698">
      <c r="H698" s="62"/>
    </row>
    <row r="699">
      <c r="H699" s="62"/>
    </row>
    <row r="700">
      <c r="H700" s="62"/>
    </row>
    <row r="701">
      <c r="H701" s="62"/>
    </row>
    <row r="702">
      <c r="H702" s="62"/>
    </row>
    <row r="703">
      <c r="H703" s="62"/>
    </row>
    <row r="704">
      <c r="H704" s="62"/>
    </row>
    <row r="705">
      <c r="H705" s="62"/>
    </row>
    <row r="706">
      <c r="H706" s="62"/>
    </row>
    <row r="707">
      <c r="H707" s="62"/>
    </row>
    <row r="708">
      <c r="H708" s="62"/>
    </row>
    <row r="709">
      <c r="H709" s="62"/>
    </row>
    <row r="710">
      <c r="H710" s="62"/>
    </row>
    <row r="711">
      <c r="H711" s="62"/>
    </row>
    <row r="712">
      <c r="H712" s="62"/>
    </row>
    <row r="713">
      <c r="H713" s="62"/>
    </row>
    <row r="714">
      <c r="H714" s="62"/>
    </row>
    <row r="715">
      <c r="H715" s="62"/>
    </row>
    <row r="716">
      <c r="H716" s="62"/>
    </row>
    <row r="717">
      <c r="H717" s="62"/>
    </row>
    <row r="718">
      <c r="H718" s="62"/>
    </row>
    <row r="719">
      <c r="H719" s="62"/>
    </row>
    <row r="720">
      <c r="H720" s="62"/>
    </row>
    <row r="721">
      <c r="H721" s="62"/>
    </row>
    <row r="722">
      <c r="H722" s="62"/>
    </row>
    <row r="723">
      <c r="H723" s="62"/>
    </row>
    <row r="724">
      <c r="H724" s="62"/>
    </row>
    <row r="725">
      <c r="H725" s="62"/>
    </row>
    <row r="726">
      <c r="H726" s="62"/>
    </row>
    <row r="727">
      <c r="H727" s="62"/>
    </row>
    <row r="728">
      <c r="H728" s="62"/>
    </row>
    <row r="729">
      <c r="H729" s="62"/>
    </row>
    <row r="730">
      <c r="H730" s="62"/>
    </row>
    <row r="731">
      <c r="H731" s="62"/>
    </row>
    <row r="732">
      <c r="H732" s="62"/>
    </row>
    <row r="733">
      <c r="H733" s="62"/>
    </row>
    <row r="734">
      <c r="H734" s="62"/>
    </row>
    <row r="735">
      <c r="H735" s="62"/>
    </row>
    <row r="736">
      <c r="H736" s="62"/>
    </row>
    <row r="737">
      <c r="H737" s="62"/>
    </row>
    <row r="738">
      <c r="H738" s="62"/>
    </row>
    <row r="739">
      <c r="H739" s="62"/>
    </row>
    <row r="740">
      <c r="H740" s="62"/>
    </row>
    <row r="741">
      <c r="H741" s="62"/>
    </row>
    <row r="742">
      <c r="H742" s="62"/>
    </row>
    <row r="743">
      <c r="H743" s="62"/>
    </row>
    <row r="744">
      <c r="H744" s="62"/>
    </row>
    <row r="745">
      <c r="H745" s="62"/>
    </row>
    <row r="746">
      <c r="H746" s="62"/>
    </row>
    <row r="747">
      <c r="H747" s="62"/>
    </row>
    <row r="748">
      <c r="H748" s="62"/>
    </row>
    <row r="749">
      <c r="H749" s="62"/>
    </row>
    <row r="750">
      <c r="H750" s="62"/>
    </row>
    <row r="751">
      <c r="H751" s="62"/>
    </row>
    <row r="752">
      <c r="H752" s="62"/>
    </row>
    <row r="753">
      <c r="H753" s="62"/>
    </row>
    <row r="754">
      <c r="H754" s="62"/>
    </row>
    <row r="755">
      <c r="H755" s="62"/>
    </row>
    <row r="756">
      <c r="H756" s="62"/>
    </row>
    <row r="757">
      <c r="H757" s="62"/>
    </row>
    <row r="758">
      <c r="H758" s="62"/>
    </row>
    <row r="759">
      <c r="H759" s="62"/>
    </row>
    <row r="760">
      <c r="H760" s="62"/>
    </row>
    <row r="761">
      <c r="H761" s="62"/>
    </row>
    <row r="762">
      <c r="H762" s="62"/>
    </row>
    <row r="763">
      <c r="H763" s="62"/>
    </row>
    <row r="764">
      <c r="H764" s="62"/>
    </row>
    <row r="765">
      <c r="H765" s="62"/>
    </row>
    <row r="766">
      <c r="H766" s="62"/>
    </row>
    <row r="767">
      <c r="H767" s="62"/>
    </row>
    <row r="768">
      <c r="H768" s="62"/>
    </row>
    <row r="769">
      <c r="H769" s="62"/>
    </row>
    <row r="770">
      <c r="H770" s="62"/>
    </row>
    <row r="771">
      <c r="H771" s="62"/>
    </row>
    <row r="772">
      <c r="H772" s="62"/>
    </row>
    <row r="773">
      <c r="H773" s="62"/>
    </row>
    <row r="774">
      <c r="H774" s="62"/>
    </row>
    <row r="775">
      <c r="H775" s="62"/>
    </row>
    <row r="776">
      <c r="H776" s="62"/>
    </row>
    <row r="777">
      <c r="H777" s="62"/>
    </row>
    <row r="778">
      <c r="H778" s="62"/>
    </row>
    <row r="779">
      <c r="H779" s="62"/>
    </row>
    <row r="780">
      <c r="H780" s="62"/>
    </row>
    <row r="781">
      <c r="H781" s="62"/>
    </row>
    <row r="782">
      <c r="H782" s="62"/>
    </row>
    <row r="783">
      <c r="H783" s="62"/>
    </row>
    <row r="784">
      <c r="H784" s="62"/>
    </row>
    <row r="785">
      <c r="H785" s="62"/>
    </row>
    <row r="786">
      <c r="H786" s="62"/>
    </row>
    <row r="787">
      <c r="H787" s="62"/>
    </row>
    <row r="788">
      <c r="H788" s="62"/>
    </row>
    <row r="789">
      <c r="H789" s="62"/>
    </row>
    <row r="790">
      <c r="H790" s="62"/>
    </row>
    <row r="791">
      <c r="H791" s="62"/>
    </row>
    <row r="792">
      <c r="H792" s="62"/>
    </row>
    <row r="793">
      <c r="H793" s="62"/>
    </row>
    <row r="794">
      <c r="H794" s="62"/>
    </row>
    <row r="795">
      <c r="H795" s="62"/>
    </row>
    <row r="796">
      <c r="H796" s="62"/>
    </row>
    <row r="797">
      <c r="H797" s="62"/>
    </row>
    <row r="798">
      <c r="H798" s="62"/>
    </row>
    <row r="799">
      <c r="H799" s="62"/>
    </row>
    <row r="800">
      <c r="H800" s="62"/>
    </row>
    <row r="801">
      <c r="H801" s="62"/>
    </row>
    <row r="802">
      <c r="H802" s="62"/>
    </row>
    <row r="803">
      <c r="H803" s="62"/>
    </row>
    <row r="804">
      <c r="H804" s="62"/>
    </row>
    <row r="805">
      <c r="H805" s="62"/>
    </row>
    <row r="806">
      <c r="H806" s="62"/>
    </row>
    <row r="807">
      <c r="H807" s="62"/>
    </row>
    <row r="808">
      <c r="H808" s="62"/>
    </row>
    <row r="809">
      <c r="H809" s="62"/>
    </row>
    <row r="810">
      <c r="H810" s="62"/>
    </row>
    <row r="811">
      <c r="H811" s="62"/>
    </row>
    <row r="812">
      <c r="H812" s="62"/>
    </row>
    <row r="813">
      <c r="H813" s="62"/>
    </row>
    <row r="814">
      <c r="H814" s="62"/>
    </row>
    <row r="815">
      <c r="H815" s="62"/>
    </row>
    <row r="816">
      <c r="H816" s="62"/>
    </row>
    <row r="817">
      <c r="H817" s="62"/>
    </row>
    <row r="818">
      <c r="H818" s="62"/>
    </row>
    <row r="819">
      <c r="H819" s="62"/>
    </row>
    <row r="820">
      <c r="H820" s="62"/>
    </row>
    <row r="821">
      <c r="H821" s="62"/>
    </row>
    <row r="822">
      <c r="H822" s="62"/>
    </row>
    <row r="823">
      <c r="H823" s="62"/>
    </row>
    <row r="824">
      <c r="H824" s="62"/>
    </row>
    <row r="825">
      <c r="H825" s="62"/>
    </row>
    <row r="826">
      <c r="H826" s="62"/>
    </row>
    <row r="827">
      <c r="H827" s="62"/>
    </row>
    <row r="828">
      <c r="H828" s="62"/>
    </row>
    <row r="829">
      <c r="H829" s="62"/>
    </row>
    <row r="830">
      <c r="H830" s="62"/>
    </row>
    <row r="831">
      <c r="H831" s="62"/>
    </row>
    <row r="832">
      <c r="H832" s="62"/>
    </row>
    <row r="833">
      <c r="H833" s="62"/>
    </row>
    <row r="834">
      <c r="H834" s="62"/>
    </row>
    <row r="835">
      <c r="H835" s="62"/>
    </row>
    <row r="836">
      <c r="H836" s="62"/>
    </row>
    <row r="837">
      <c r="H837" s="62"/>
    </row>
    <row r="838">
      <c r="H838" s="62"/>
    </row>
    <row r="839">
      <c r="H839" s="62"/>
    </row>
    <row r="840">
      <c r="H840" s="62"/>
    </row>
    <row r="841">
      <c r="H841" s="62"/>
    </row>
    <row r="842">
      <c r="H842" s="62"/>
    </row>
    <row r="843">
      <c r="H843" s="62"/>
    </row>
    <row r="844">
      <c r="H844" s="62"/>
    </row>
    <row r="845">
      <c r="H845" s="62"/>
    </row>
    <row r="846">
      <c r="H846" s="62"/>
    </row>
    <row r="847">
      <c r="H847" s="62"/>
    </row>
    <row r="848">
      <c r="H848" s="62"/>
    </row>
    <row r="849">
      <c r="H849" s="62"/>
    </row>
    <row r="850">
      <c r="H850" s="62"/>
    </row>
    <row r="851">
      <c r="H851" s="62"/>
    </row>
    <row r="852">
      <c r="H852" s="62"/>
    </row>
    <row r="853">
      <c r="H853" s="62"/>
    </row>
    <row r="854">
      <c r="H854" s="62"/>
    </row>
    <row r="855">
      <c r="H855" s="62"/>
    </row>
    <row r="856">
      <c r="H856" s="62"/>
    </row>
    <row r="857">
      <c r="H857" s="62"/>
    </row>
    <row r="858">
      <c r="H858" s="62"/>
    </row>
    <row r="859">
      <c r="H859" s="62"/>
    </row>
    <row r="860">
      <c r="H860" s="62"/>
    </row>
    <row r="861">
      <c r="H861" s="62"/>
    </row>
    <row r="862">
      <c r="H862" s="62"/>
    </row>
    <row r="863">
      <c r="H863" s="62"/>
    </row>
    <row r="864">
      <c r="H864" s="62"/>
    </row>
    <row r="865">
      <c r="H865" s="62"/>
    </row>
    <row r="866">
      <c r="H866" s="62"/>
    </row>
    <row r="867">
      <c r="H867" s="62"/>
    </row>
    <row r="868">
      <c r="H868" s="62"/>
    </row>
    <row r="869">
      <c r="H869" s="62"/>
    </row>
    <row r="870">
      <c r="H870" s="62"/>
    </row>
    <row r="871">
      <c r="H871" s="62"/>
    </row>
    <row r="872">
      <c r="H872" s="62"/>
    </row>
    <row r="873">
      <c r="H873" s="62"/>
    </row>
    <row r="874">
      <c r="H874" s="62"/>
    </row>
    <row r="875">
      <c r="H875" s="62"/>
    </row>
    <row r="876">
      <c r="H876" s="62"/>
    </row>
    <row r="877">
      <c r="H877" s="62"/>
    </row>
    <row r="878">
      <c r="H878" s="62"/>
    </row>
    <row r="879">
      <c r="H879" s="62"/>
    </row>
    <row r="880">
      <c r="H880" s="62"/>
    </row>
    <row r="881">
      <c r="H881" s="62"/>
    </row>
    <row r="882">
      <c r="H882" s="62"/>
    </row>
    <row r="883">
      <c r="H883" s="62"/>
    </row>
    <row r="884">
      <c r="H884" s="62"/>
    </row>
    <row r="885">
      <c r="H885" s="62"/>
    </row>
    <row r="886">
      <c r="H886" s="62"/>
    </row>
    <row r="887">
      <c r="H887" s="62"/>
    </row>
    <row r="888">
      <c r="H888" s="62"/>
    </row>
    <row r="889">
      <c r="H889" s="62"/>
    </row>
    <row r="890">
      <c r="H890" s="62"/>
    </row>
    <row r="891">
      <c r="H891" s="62"/>
    </row>
    <row r="892">
      <c r="H892" s="62"/>
    </row>
    <row r="893">
      <c r="H893" s="62"/>
    </row>
    <row r="894">
      <c r="H894" s="62"/>
    </row>
    <row r="895">
      <c r="H895" s="62"/>
    </row>
    <row r="896">
      <c r="H896" s="62"/>
    </row>
    <row r="897">
      <c r="H897" s="62"/>
    </row>
    <row r="898">
      <c r="H898" s="62"/>
    </row>
    <row r="899">
      <c r="H899" s="62"/>
    </row>
    <row r="900">
      <c r="H900" s="62"/>
    </row>
    <row r="901">
      <c r="H901" s="62"/>
    </row>
    <row r="902">
      <c r="H902" s="62"/>
    </row>
    <row r="903">
      <c r="H903" s="62"/>
    </row>
    <row r="904">
      <c r="H904" s="62"/>
    </row>
    <row r="905">
      <c r="H905" s="62"/>
    </row>
    <row r="906">
      <c r="H906" s="62"/>
    </row>
    <row r="907">
      <c r="H907" s="62"/>
    </row>
    <row r="908">
      <c r="H908" s="62"/>
    </row>
    <row r="909">
      <c r="H909" s="62"/>
    </row>
    <row r="910">
      <c r="H910" s="62"/>
    </row>
    <row r="911">
      <c r="H911" s="62"/>
    </row>
    <row r="912">
      <c r="H912" s="62"/>
    </row>
    <row r="913">
      <c r="H913" s="62"/>
    </row>
    <row r="914">
      <c r="H914" s="62"/>
    </row>
    <row r="915">
      <c r="H915" s="62"/>
    </row>
    <row r="916">
      <c r="H916" s="62"/>
    </row>
    <row r="917">
      <c r="H917" s="62"/>
    </row>
    <row r="918">
      <c r="H918" s="62"/>
    </row>
    <row r="919">
      <c r="H919" s="62"/>
    </row>
    <row r="920">
      <c r="H920" s="62"/>
    </row>
    <row r="921">
      <c r="H921" s="62"/>
    </row>
    <row r="922">
      <c r="H922" s="62"/>
    </row>
    <row r="923">
      <c r="H923" s="62"/>
    </row>
    <row r="924">
      <c r="H924" s="62"/>
    </row>
    <row r="925">
      <c r="H925" s="62"/>
    </row>
    <row r="926">
      <c r="H926" s="62"/>
    </row>
    <row r="927">
      <c r="H927" s="62"/>
    </row>
    <row r="928">
      <c r="H928" s="62"/>
    </row>
    <row r="929">
      <c r="H929" s="62"/>
    </row>
    <row r="930">
      <c r="H930" s="62"/>
    </row>
    <row r="931">
      <c r="H931" s="62"/>
    </row>
    <row r="932">
      <c r="H932" s="62"/>
    </row>
    <row r="933">
      <c r="H933" s="62"/>
    </row>
    <row r="934">
      <c r="H934" s="62"/>
    </row>
    <row r="935">
      <c r="H935" s="62"/>
    </row>
    <row r="936">
      <c r="H936" s="62"/>
    </row>
    <row r="937">
      <c r="H937" s="62"/>
    </row>
    <row r="938">
      <c r="H938" s="62"/>
    </row>
    <row r="939">
      <c r="H939" s="62"/>
    </row>
    <row r="940">
      <c r="H940" s="62"/>
    </row>
    <row r="941">
      <c r="H941" s="62"/>
    </row>
    <row r="942">
      <c r="H942" s="62"/>
    </row>
    <row r="943">
      <c r="H943" s="62"/>
    </row>
    <row r="944">
      <c r="H944" s="62"/>
    </row>
    <row r="945">
      <c r="H945" s="62"/>
    </row>
    <row r="946">
      <c r="H946" s="62"/>
    </row>
    <row r="947">
      <c r="H947" s="62"/>
    </row>
    <row r="948">
      <c r="H948" s="62"/>
    </row>
    <row r="949">
      <c r="H949" s="62"/>
    </row>
    <row r="950">
      <c r="H950" s="62"/>
    </row>
    <row r="951">
      <c r="H951" s="62"/>
    </row>
    <row r="952">
      <c r="H952" s="62"/>
    </row>
    <row r="953">
      <c r="H953" s="62"/>
    </row>
    <row r="954">
      <c r="H954" s="62"/>
    </row>
    <row r="955">
      <c r="H955" s="62"/>
    </row>
    <row r="956">
      <c r="H956" s="62"/>
    </row>
    <row r="957">
      <c r="H957" s="62"/>
    </row>
    <row r="958">
      <c r="H958" s="62"/>
    </row>
    <row r="959">
      <c r="H959" s="62"/>
    </row>
    <row r="960">
      <c r="H960" s="62"/>
    </row>
    <row r="961">
      <c r="H961" s="62"/>
    </row>
    <row r="962">
      <c r="H962" s="62"/>
    </row>
    <row r="963">
      <c r="H963" s="62"/>
    </row>
    <row r="964">
      <c r="H964" s="62"/>
    </row>
    <row r="965">
      <c r="H965" s="62"/>
    </row>
    <row r="966">
      <c r="H966" s="62"/>
    </row>
    <row r="967">
      <c r="H967" s="62"/>
    </row>
    <row r="968">
      <c r="H968" s="62"/>
    </row>
    <row r="969">
      <c r="H969" s="62"/>
    </row>
    <row r="970">
      <c r="H970" s="62"/>
    </row>
    <row r="971">
      <c r="H971" s="62"/>
    </row>
    <row r="972">
      <c r="H972" s="62"/>
    </row>
    <row r="973">
      <c r="H973" s="62"/>
    </row>
    <row r="974">
      <c r="H974" s="62"/>
    </row>
    <row r="975">
      <c r="H975" s="62"/>
    </row>
    <row r="976">
      <c r="H976" s="62"/>
    </row>
    <row r="977">
      <c r="H977" s="62"/>
    </row>
    <row r="978">
      <c r="H978" s="62"/>
    </row>
    <row r="979">
      <c r="H979" s="62"/>
    </row>
    <row r="980">
      <c r="H980" s="62"/>
    </row>
    <row r="981">
      <c r="H981" s="62"/>
    </row>
    <row r="982">
      <c r="H982" s="62"/>
    </row>
    <row r="983">
      <c r="H983" s="62"/>
    </row>
    <row r="984">
      <c r="H984" s="62"/>
    </row>
    <row r="985">
      <c r="H985" s="62"/>
    </row>
    <row r="986">
      <c r="H986" s="62"/>
    </row>
    <row r="987">
      <c r="H987" s="62"/>
    </row>
    <row r="988">
      <c r="H988" s="62"/>
    </row>
    <row r="989">
      <c r="H989" s="62"/>
    </row>
    <row r="990">
      <c r="H990" s="62"/>
    </row>
    <row r="991">
      <c r="H991" s="62"/>
    </row>
    <row r="992">
      <c r="H992" s="62"/>
    </row>
    <row r="993">
      <c r="H993" s="62"/>
    </row>
    <row r="994">
      <c r="H994" s="62"/>
    </row>
    <row r="995">
      <c r="H995" s="62"/>
    </row>
    <row r="996">
      <c r="H996" s="62"/>
    </row>
    <row r="997">
      <c r="H997" s="62"/>
    </row>
    <row r="998">
      <c r="H998" s="62"/>
    </row>
    <row r="999">
      <c r="H999" s="62"/>
    </row>
    <row r="1000">
      <c r="H1000" s="62"/>
    </row>
  </sheetData>
  <dataValidations>
    <dataValidation type="list" allowBlank="1" sqref="G2:G18">
      <formula1>"active,pause,done,stoped"</formula1>
    </dataValidation>
    <dataValidation type="custom" allowBlank="1" showDropDown="1" sqref="E2:E18">
      <formula1>AND(ISNUMBER(E2),(NOT(OR(NOT(ISERROR(DATEVALUE(E2))), AND(ISNUMBER(E2), LEFT(CELL("format", E2))="D")))))</formula1>
    </dataValidation>
    <dataValidation type="list" allowBlank="1" sqref="D2:D18">
      <formula1>"Rough works,Electrics,Facade"</formula1>
    </dataValidation>
    <dataValidation type="list" allowBlank="1" sqref="I2:I18">
      <formula1>"Completed,Active"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3" max="3" width="14.0"/>
    <col customWidth="1" min="4" max="4" width="16.63"/>
    <col customWidth="1" min="5" max="5" width="15.13"/>
    <col customWidth="1" min="6" max="6" width="19.63"/>
    <col customWidth="1" min="8" max="8" width="13.5"/>
    <col customWidth="1" min="9" max="9" width="19.5"/>
    <col customWidth="1" min="10" max="10" width="17.13"/>
  </cols>
  <sheetData>
    <row r="1" ht="22.5" customHeight="1">
      <c r="A1" s="1" t="s">
        <v>265</v>
      </c>
      <c r="B1" s="1" t="s">
        <v>137</v>
      </c>
      <c r="C1" s="1" t="s">
        <v>160</v>
      </c>
      <c r="D1" s="1" t="s">
        <v>266</v>
      </c>
      <c r="E1" s="1" t="s">
        <v>267</v>
      </c>
      <c r="F1" s="1" t="s">
        <v>161</v>
      </c>
      <c r="G1" s="1" t="s">
        <v>143</v>
      </c>
      <c r="H1" s="1" t="s">
        <v>2</v>
      </c>
      <c r="I1" s="1" t="s">
        <v>268</v>
      </c>
      <c r="J1" s="17" t="s">
        <v>269</v>
      </c>
    </row>
    <row r="2" ht="22.5" customHeight="1">
      <c r="A2" s="3" t="s">
        <v>270</v>
      </c>
      <c r="B2" s="5">
        <v>46133.0</v>
      </c>
      <c r="C2" s="3" t="s">
        <v>10</v>
      </c>
      <c r="D2" s="3" t="s">
        <v>230</v>
      </c>
      <c r="E2" s="3" t="s">
        <v>245</v>
      </c>
      <c r="F2" s="3" t="s">
        <v>170</v>
      </c>
      <c r="G2" s="4">
        <v>100000.0</v>
      </c>
      <c r="H2" s="3" t="s">
        <v>241</v>
      </c>
      <c r="I2" s="5">
        <v>46065.0</v>
      </c>
      <c r="J2" s="3" t="s">
        <v>271</v>
      </c>
    </row>
    <row r="3" ht="22.5" customHeight="1">
      <c r="A3" s="3" t="s">
        <v>272</v>
      </c>
      <c r="B3" s="5">
        <v>46134.0</v>
      </c>
      <c r="C3" s="3" t="s">
        <v>13</v>
      </c>
      <c r="D3" s="3" t="s">
        <v>233</v>
      </c>
      <c r="E3" s="3" t="s">
        <v>248</v>
      </c>
      <c r="F3" s="3" t="s">
        <v>172</v>
      </c>
      <c r="G3" s="4">
        <v>100000.0</v>
      </c>
      <c r="H3" s="3" t="s">
        <v>241</v>
      </c>
      <c r="I3" s="5">
        <v>46084.0</v>
      </c>
      <c r="J3" s="3" t="s">
        <v>271</v>
      </c>
    </row>
    <row r="4" ht="22.5" customHeight="1">
      <c r="A4" s="3" t="s">
        <v>273</v>
      </c>
      <c r="B4" s="5">
        <v>46135.0</v>
      </c>
      <c r="C4" s="3" t="s">
        <v>10</v>
      </c>
      <c r="D4" s="3" t="s">
        <v>230</v>
      </c>
      <c r="E4" s="3" t="s">
        <v>245</v>
      </c>
      <c r="F4" s="3" t="s">
        <v>170</v>
      </c>
      <c r="G4" s="4">
        <v>200000.0</v>
      </c>
      <c r="H4" s="3" t="s">
        <v>241</v>
      </c>
      <c r="I4" s="5">
        <v>46065.0</v>
      </c>
      <c r="J4" s="3" t="s">
        <v>271</v>
      </c>
    </row>
    <row r="5" ht="22.5" customHeight="1">
      <c r="A5" s="3" t="s">
        <v>274</v>
      </c>
      <c r="B5" s="5">
        <v>46136.0</v>
      </c>
      <c r="C5" s="3" t="s">
        <v>10</v>
      </c>
      <c r="D5" s="3" t="s">
        <v>230</v>
      </c>
      <c r="E5" s="3" t="s">
        <v>245</v>
      </c>
      <c r="F5" s="3" t="s">
        <v>167</v>
      </c>
      <c r="G5" s="4">
        <v>100000.0</v>
      </c>
      <c r="H5" s="3" t="s">
        <v>241</v>
      </c>
      <c r="I5" s="5">
        <v>46129.0</v>
      </c>
      <c r="J5" s="3" t="s">
        <v>271</v>
      </c>
    </row>
    <row r="6" ht="22.5" customHeight="1">
      <c r="A6" s="3" t="s">
        <v>275</v>
      </c>
      <c r="B6" s="7">
        <f t="shared" ref="B6:B7" si="1">TODAY()</f>
        <v>46146</v>
      </c>
      <c r="C6" s="3" t="s">
        <v>13</v>
      </c>
      <c r="D6" s="3" t="s">
        <v>235</v>
      </c>
      <c r="E6" s="3" t="s">
        <v>251</v>
      </c>
      <c r="F6" s="3" t="s">
        <v>181</v>
      </c>
      <c r="G6" s="4">
        <v>100000.0</v>
      </c>
      <c r="H6" s="3" t="s">
        <v>241</v>
      </c>
      <c r="I6" s="5">
        <v>46131.0</v>
      </c>
      <c r="J6" s="3" t="s">
        <v>271</v>
      </c>
    </row>
    <row r="7" ht="22.5" customHeight="1">
      <c r="A7" s="3" t="s">
        <v>276</v>
      </c>
      <c r="B7" s="7">
        <f t="shared" si="1"/>
        <v>46146</v>
      </c>
      <c r="C7" s="3" t="s">
        <v>10</v>
      </c>
      <c r="D7" s="3" t="s">
        <v>235</v>
      </c>
      <c r="E7" s="3" t="s">
        <v>253</v>
      </c>
      <c r="F7" s="3" t="s">
        <v>167</v>
      </c>
      <c r="G7" s="4">
        <v>100000.0</v>
      </c>
      <c r="H7" s="3" t="s">
        <v>241</v>
      </c>
      <c r="I7" s="5">
        <v>46132.0</v>
      </c>
      <c r="J7" s="3" t="s">
        <v>271</v>
      </c>
    </row>
    <row r="8" ht="22.5" customHeight="1">
      <c r="A8" s="6"/>
      <c r="B8" s="7"/>
      <c r="C8" s="6"/>
      <c r="D8" s="6"/>
      <c r="E8" s="6"/>
      <c r="F8" s="6"/>
      <c r="H8" s="6"/>
      <c r="I8" s="7"/>
      <c r="J8" s="3" t="b">
        <v>0</v>
      </c>
    </row>
    <row r="9" ht="22.5" customHeight="1">
      <c r="A9" s="6"/>
      <c r="B9" s="7"/>
      <c r="C9" s="6"/>
      <c r="D9" s="6"/>
      <c r="E9" s="6"/>
      <c r="F9" s="6"/>
      <c r="H9" s="6"/>
      <c r="I9" s="7"/>
      <c r="J9" s="3" t="b">
        <v>0</v>
      </c>
    </row>
    <row r="10" ht="22.5" customHeight="1">
      <c r="A10" s="6"/>
      <c r="B10" s="7"/>
      <c r="C10" s="6"/>
      <c r="D10" s="6"/>
      <c r="E10" s="6"/>
      <c r="F10" s="6"/>
      <c r="H10" s="6"/>
      <c r="I10" s="7"/>
      <c r="J10" s="3" t="b">
        <v>0</v>
      </c>
    </row>
    <row r="11" ht="22.5" customHeight="1">
      <c r="A11" s="6"/>
      <c r="B11" s="7"/>
      <c r="C11" s="6"/>
      <c r="D11" s="6"/>
      <c r="E11" s="6"/>
      <c r="F11" s="6"/>
      <c r="H11" s="6"/>
      <c r="I11" s="7"/>
      <c r="J11" s="3" t="b">
        <v>0</v>
      </c>
    </row>
    <row r="12" ht="22.5" customHeight="1">
      <c r="A12" s="6"/>
      <c r="B12" s="7"/>
      <c r="C12" s="6"/>
      <c r="D12" s="6"/>
      <c r="E12" s="6"/>
      <c r="F12" s="6"/>
      <c r="H12" s="6"/>
      <c r="I12" s="7"/>
      <c r="J12" s="3" t="b">
        <v>0</v>
      </c>
    </row>
    <row r="13" ht="22.5" customHeight="1">
      <c r="A13" s="6"/>
      <c r="B13" s="7"/>
      <c r="C13" s="6"/>
      <c r="D13" s="6"/>
      <c r="E13" s="6"/>
      <c r="F13" s="6"/>
      <c r="H13" s="6"/>
      <c r="I13" s="7"/>
      <c r="J13" s="3" t="b">
        <v>0</v>
      </c>
    </row>
    <row r="14" ht="22.5" customHeight="1">
      <c r="A14" s="6"/>
      <c r="B14" s="7"/>
      <c r="C14" s="6"/>
      <c r="D14" s="6"/>
      <c r="E14" s="6"/>
      <c r="F14" s="6"/>
      <c r="H14" s="6"/>
      <c r="I14" s="7"/>
      <c r="J14" s="3" t="b">
        <v>0</v>
      </c>
    </row>
    <row r="15" ht="22.5" customHeight="1">
      <c r="A15" s="6"/>
      <c r="B15" s="7"/>
      <c r="C15" s="6"/>
      <c r="D15" s="6"/>
      <c r="E15" s="6"/>
      <c r="F15" s="6"/>
      <c r="H15" s="6"/>
      <c r="I15" s="7"/>
      <c r="J15" s="3" t="b">
        <v>0</v>
      </c>
    </row>
    <row r="16" ht="22.5" customHeight="1">
      <c r="A16" s="6"/>
      <c r="B16" s="7"/>
      <c r="C16" s="6"/>
      <c r="D16" s="6"/>
      <c r="E16" s="6"/>
      <c r="F16" s="6"/>
      <c r="H16" s="6"/>
      <c r="I16" s="7"/>
      <c r="J16" s="3" t="b">
        <v>0</v>
      </c>
    </row>
    <row r="17" ht="22.5" customHeight="1">
      <c r="A17" s="6"/>
      <c r="B17" s="7"/>
      <c r="C17" s="6"/>
      <c r="D17" s="6"/>
      <c r="E17" s="6"/>
      <c r="F17" s="6"/>
      <c r="H17" s="6"/>
      <c r="I17" s="7"/>
      <c r="J17" s="3" t="b">
        <v>0</v>
      </c>
    </row>
    <row r="18" ht="22.5" customHeight="1">
      <c r="A18" s="6"/>
      <c r="B18" s="7"/>
      <c r="C18" s="6"/>
      <c r="D18" s="6"/>
      <c r="E18" s="6"/>
      <c r="F18" s="6"/>
      <c r="H18" s="6"/>
      <c r="I18" s="7"/>
      <c r="J18" s="3" t="b">
        <v>0</v>
      </c>
    </row>
    <row r="19" ht="22.5" customHeight="1">
      <c r="A19" s="6"/>
      <c r="B19" s="7"/>
      <c r="C19" s="6"/>
      <c r="D19" s="6"/>
      <c r="E19" s="6"/>
      <c r="F19" s="6"/>
      <c r="H19" s="6"/>
      <c r="I19" s="7"/>
      <c r="J19" s="3" t="b">
        <v>0</v>
      </c>
    </row>
    <row r="20" ht="22.5" customHeight="1">
      <c r="A20" s="6"/>
      <c r="B20" s="7"/>
      <c r="C20" s="6"/>
      <c r="D20" s="6"/>
      <c r="E20" s="6"/>
      <c r="F20" s="6"/>
      <c r="H20" s="6"/>
      <c r="I20" s="7"/>
      <c r="J20" s="3" t="b">
        <v>0</v>
      </c>
    </row>
    <row r="21" ht="22.5" customHeight="1">
      <c r="A21" s="6"/>
      <c r="B21" s="7"/>
      <c r="C21" s="6"/>
      <c r="D21" s="6"/>
      <c r="E21" s="6"/>
      <c r="F21" s="6"/>
      <c r="H21" s="6"/>
      <c r="I21" s="7"/>
      <c r="J21" s="3" t="b">
        <v>0</v>
      </c>
    </row>
    <row r="22" ht="22.5" customHeight="1">
      <c r="A22" s="6"/>
      <c r="B22" s="7"/>
      <c r="C22" s="6"/>
      <c r="D22" s="6"/>
      <c r="E22" s="6"/>
      <c r="F22" s="6"/>
      <c r="H22" s="6"/>
      <c r="I22" s="7"/>
      <c r="J22" s="3" t="b">
        <v>0</v>
      </c>
    </row>
    <row r="23" ht="22.5" customHeight="1">
      <c r="A23" s="6"/>
      <c r="B23" s="7"/>
      <c r="C23" s="6"/>
      <c r="D23" s="6"/>
      <c r="E23" s="6"/>
      <c r="F23" s="6"/>
      <c r="H23" s="6"/>
      <c r="I23" s="7"/>
      <c r="J23" s="3" t="b">
        <v>0</v>
      </c>
    </row>
    <row r="24" ht="22.5" customHeight="1">
      <c r="A24" s="6"/>
      <c r="B24" s="7"/>
      <c r="C24" s="6"/>
      <c r="D24" s="6"/>
      <c r="E24" s="6"/>
      <c r="F24" s="6"/>
      <c r="H24" s="6"/>
      <c r="I24" s="7"/>
      <c r="J24" s="3" t="b">
        <v>0</v>
      </c>
    </row>
    <row r="25" ht="22.5" customHeight="1">
      <c r="A25" s="6"/>
      <c r="B25" s="7"/>
      <c r="C25" s="6"/>
      <c r="D25" s="6"/>
      <c r="E25" s="6"/>
      <c r="F25" s="6"/>
      <c r="H25" s="6"/>
      <c r="I25" s="7"/>
      <c r="J25" s="3" t="b">
        <v>0</v>
      </c>
    </row>
    <row r="26" ht="22.5" customHeight="1">
      <c r="A26" s="6"/>
      <c r="B26" s="7"/>
      <c r="C26" s="6"/>
      <c r="D26" s="6"/>
      <c r="E26" s="6"/>
      <c r="F26" s="6"/>
      <c r="H26" s="6"/>
      <c r="I26" s="7"/>
      <c r="J26" s="3" t="b">
        <v>0</v>
      </c>
    </row>
    <row r="27" ht="22.5" customHeight="1">
      <c r="A27" s="6"/>
      <c r="B27" s="7"/>
      <c r="C27" s="6"/>
      <c r="D27" s="6"/>
      <c r="E27" s="6"/>
      <c r="F27" s="6"/>
      <c r="H27" s="6"/>
      <c r="I27" s="7"/>
      <c r="J27" s="3" t="b">
        <v>0</v>
      </c>
    </row>
  </sheetData>
  <dataValidations>
    <dataValidation type="list" allowBlank="1" sqref="A2:A27">
      <formula1>"EX1,EX2,EX3,EX4"</formula1>
    </dataValidation>
    <dataValidation type="custom" allowBlank="1" showDropDown="1" sqref="B2:B27 I2:I27">
      <formula1>OR(NOT(ISERROR(DATEVALUE(B2))), AND(ISNUMBER(B2), LEFT(CELL("format", B2))="D"))</formula1>
    </dataValidation>
    <dataValidation type="list" allowBlank="1" sqref="J2:J27">
      <formula1>"Verified,Not verified"</formula1>
    </dataValidation>
    <dataValidation type="list" allowBlank="1" sqref="H2:H27">
      <formula1>"Planned,Due,Paid"</formula1>
    </dataValidation>
    <dataValidation type="list" allowBlank="1" sqref="C2:F27">
      <formula1>#REF!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3" width="12.38"/>
    <col customWidth="1" min="6" max="6" width="14.5"/>
    <col customWidth="1" min="7" max="7" width="13.5"/>
    <col customWidth="1" min="8" max="8" width="28.38"/>
  </cols>
  <sheetData>
    <row r="1" ht="22.5" customHeight="1">
      <c r="A1" s="17" t="s">
        <v>135</v>
      </c>
      <c r="B1" s="17" t="s">
        <v>160</v>
      </c>
      <c r="C1" s="17" t="s">
        <v>141</v>
      </c>
      <c r="D1" s="17" t="s">
        <v>277</v>
      </c>
      <c r="E1" s="17" t="s">
        <v>241</v>
      </c>
      <c r="F1" s="17" t="s">
        <v>278</v>
      </c>
      <c r="G1" s="17" t="s">
        <v>2</v>
      </c>
      <c r="H1" s="17" t="s">
        <v>113</v>
      </c>
    </row>
    <row r="2" ht="22.5" customHeight="1">
      <c r="A2" s="3" t="s">
        <v>70</v>
      </c>
      <c r="B2" s="3" t="s">
        <v>10</v>
      </c>
      <c r="C2" s="3" t="s">
        <v>23</v>
      </c>
      <c r="D2" s="15">
        <v>1200000.0</v>
      </c>
      <c r="E2" s="15">
        <v>2.55E7</v>
      </c>
      <c r="F2" s="15">
        <v>-2.43E7</v>
      </c>
      <c r="G2" s="3" t="s">
        <v>241</v>
      </c>
      <c r="H2" s="63"/>
    </row>
    <row r="3" ht="22.5" customHeight="1">
      <c r="A3" s="3" t="s">
        <v>74</v>
      </c>
      <c r="B3" s="3" t="s">
        <v>10</v>
      </c>
      <c r="C3" s="3" t="s">
        <v>27</v>
      </c>
      <c r="D3" s="15">
        <v>950000.0</v>
      </c>
      <c r="E3" s="15">
        <v>2.1E7</v>
      </c>
      <c r="F3" s="15">
        <v>-2.005E7</v>
      </c>
      <c r="G3" s="3" t="s">
        <v>241</v>
      </c>
      <c r="H3" s="63"/>
    </row>
    <row r="4" ht="22.5" customHeight="1">
      <c r="A4" s="3" t="s">
        <v>76</v>
      </c>
      <c r="B4" s="3" t="s">
        <v>10</v>
      </c>
      <c r="C4" s="3" t="s">
        <v>31</v>
      </c>
      <c r="D4" s="15">
        <v>1500000.0</v>
      </c>
      <c r="E4" s="15">
        <v>6000000.0</v>
      </c>
      <c r="F4" s="15">
        <v>-4500000.0</v>
      </c>
      <c r="G4" s="3" t="s">
        <v>241</v>
      </c>
      <c r="H4" s="63"/>
    </row>
    <row r="5" ht="22.5" customHeight="1">
      <c r="A5" s="3" t="s">
        <v>78</v>
      </c>
      <c r="B5" s="3" t="s">
        <v>13</v>
      </c>
      <c r="C5" s="3" t="s">
        <v>47</v>
      </c>
      <c r="D5" s="15">
        <v>1100000.0</v>
      </c>
      <c r="E5" s="15">
        <v>4500000.0</v>
      </c>
      <c r="F5" s="15">
        <v>-3400000.0</v>
      </c>
      <c r="G5" s="3" t="s">
        <v>241</v>
      </c>
      <c r="H5" s="63"/>
    </row>
    <row r="6" ht="22.5" customHeight="1">
      <c r="A6" s="3" t="s">
        <v>80</v>
      </c>
      <c r="B6" s="3" t="s">
        <v>13</v>
      </c>
      <c r="C6" s="3" t="s">
        <v>49</v>
      </c>
      <c r="D6" s="15">
        <v>1300000.0</v>
      </c>
      <c r="E6" s="15">
        <v>0.0</v>
      </c>
      <c r="F6" s="15">
        <v>1300000.0</v>
      </c>
      <c r="G6" s="3" t="s">
        <v>279</v>
      </c>
      <c r="H6" s="63"/>
    </row>
    <row r="7" ht="22.5" customHeight="1">
      <c r="A7" s="6"/>
      <c r="B7" s="6"/>
      <c r="C7" s="6"/>
      <c r="G7" s="6"/>
    </row>
    <row r="8" ht="22.5" customHeight="1">
      <c r="A8" s="6"/>
      <c r="B8" s="6"/>
      <c r="C8" s="6"/>
      <c r="G8" s="6"/>
    </row>
    <row r="9" ht="22.5" customHeight="1">
      <c r="A9" s="6"/>
      <c r="B9" s="6"/>
      <c r="C9" s="6"/>
      <c r="G9" s="6"/>
    </row>
    <row r="10" ht="22.5" customHeight="1">
      <c r="A10" s="6"/>
      <c r="B10" s="6"/>
      <c r="C10" s="6"/>
      <c r="G10" s="6"/>
    </row>
    <row r="11" ht="22.5" customHeight="1">
      <c r="A11" s="6"/>
      <c r="B11" s="6"/>
      <c r="C11" s="6"/>
      <c r="G11" s="6"/>
    </row>
    <row r="12" ht="22.5" customHeight="1">
      <c r="A12" s="6"/>
      <c r="B12" s="6"/>
      <c r="C12" s="6"/>
      <c r="G12" s="6"/>
    </row>
    <row r="13" ht="22.5" customHeight="1">
      <c r="A13" s="6"/>
      <c r="B13" s="6"/>
      <c r="C13" s="6"/>
      <c r="G13" s="6"/>
    </row>
    <row r="14" ht="22.5" customHeight="1">
      <c r="A14" s="6"/>
      <c r="B14" s="6"/>
      <c r="C14" s="6"/>
      <c r="G14" s="6"/>
    </row>
    <row r="15" ht="22.5" customHeight="1">
      <c r="A15" s="6"/>
      <c r="B15" s="6"/>
      <c r="C15" s="6"/>
      <c r="G15" s="6"/>
    </row>
    <row r="16" ht="22.5" customHeight="1">
      <c r="A16" s="6"/>
      <c r="B16" s="6"/>
      <c r="C16" s="6"/>
      <c r="G16" s="6"/>
    </row>
    <row r="17" ht="22.5" customHeight="1">
      <c r="A17" s="6"/>
      <c r="B17" s="6"/>
      <c r="C17" s="6"/>
      <c r="G17" s="6"/>
    </row>
    <row r="18" ht="22.5" customHeight="1">
      <c r="A18" s="6"/>
      <c r="B18" s="6"/>
      <c r="C18" s="6"/>
      <c r="G18" s="6"/>
    </row>
    <row r="19" ht="22.5" customHeight="1">
      <c r="A19" s="6"/>
      <c r="B19" s="6"/>
      <c r="C19" s="6"/>
      <c r="G19" s="6"/>
    </row>
    <row r="20" ht="22.5" customHeight="1">
      <c r="A20" s="6"/>
      <c r="B20" s="6"/>
      <c r="C20" s="6"/>
      <c r="G20" s="6"/>
    </row>
    <row r="21" ht="22.5" customHeight="1">
      <c r="A21" s="6"/>
      <c r="B21" s="6"/>
      <c r="C21" s="6"/>
      <c r="G21" s="6"/>
    </row>
    <row r="22" ht="22.5" customHeight="1">
      <c r="A22" s="6"/>
      <c r="B22" s="6"/>
      <c r="C22" s="6"/>
      <c r="G22" s="6"/>
    </row>
    <row r="23" ht="22.5" customHeight="1">
      <c r="A23" s="6"/>
      <c r="B23" s="6"/>
      <c r="C23" s="6"/>
      <c r="G23" s="6"/>
    </row>
    <row r="24" ht="22.5" customHeight="1">
      <c r="A24" s="6"/>
      <c r="B24" s="6"/>
      <c r="C24" s="6"/>
      <c r="G24" s="6"/>
    </row>
    <row r="25" ht="22.5" customHeight="1">
      <c r="A25" s="6"/>
      <c r="B25" s="6"/>
      <c r="C25" s="6"/>
      <c r="G25" s="6"/>
    </row>
    <row r="26" ht="22.5" customHeight="1">
      <c r="A26" s="6"/>
      <c r="B26" s="6"/>
      <c r="C26" s="6"/>
      <c r="G26" s="6"/>
    </row>
    <row r="27" ht="22.5" customHeight="1">
      <c r="A27" s="6"/>
      <c r="B27" s="6"/>
      <c r="C27" s="6"/>
      <c r="G27" s="6"/>
    </row>
    <row r="28" ht="22.5" customHeight="1">
      <c r="A28" s="6"/>
      <c r="B28" s="6"/>
      <c r="C28" s="6"/>
      <c r="G28" s="6"/>
    </row>
    <row r="29" ht="22.5" customHeight="1">
      <c r="A29" s="6"/>
      <c r="B29" s="6"/>
      <c r="C29" s="6"/>
      <c r="G29" s="6"/>
    </row>
  </sheetData>
  <dataValidations>
    <dataValidation type="list" allowBlank="1" sqref="C2:C29">
      <formula1>"U001,U002,U003,U010,U011"</formula1>
    </dataValidation>
    <dataValidation type="list" allowBlank="1" sqref="B2:B29">
      <formula1>"P001,P002"</formula1>
    </dataValidation>
    <dataValidation type="list" allowBlank="1" sqref="G2:G29">
      <formula1>"Unpaid,Paid,Partial"</formula1>
    </dataValidation>
    <dataValidation type="list" allowBlank="1" sqref="A2:A29">
      <formula1>#REF!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</cols>
  <sheetData>
    <row r="1" ht="22.5" customHeight="1">
      <c r="A1" s="1" t="s">
        <v>280</v>
      </c>
      <c r="B1" s="1" t="s">
        <v>66</v>
      </c>
      <c r="C1" s="1" t="s">
        <v>147</v>
      </c>
      <c r="D1" s="1" t="s">
        <v>281</v>
      </c>
      <c r="E1" s="1" t="s">
        <v>282</v>
      </c>
      <c r="F1" s="1" t="s">
        <v>283</v>
      </c>
    </row>
    <row r="2" ht="22.5" customHeight="1">
      <c r="A2" s="4" t="s">
        <v>284</v>
      </c>
      <c r="B2" s="4" t="s">
        <v>285</v>
      </c>
      <c r="C2" s="4" t="s">
        <v>286</v>
      </c>
      <c r="D2" s="4" t="s">
        <v>287</v>
      </c>
      <c r="E2" s="36">
        <v>350000.0</v>
      </c>
      <c r="F2" s="4" t="s">
        <v>288</v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5.5"/>
    <col customWidth="1" min="7" max="7" width="15.25"/>
  </cols>
  <sheetData>
    <row r="1" ht="22.5" customHeight="1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7" t="s">
        <v>295</v>
      </c>
    </row>
    <row r="2" ht="22.5" customHeight="1">
      <c r="A2" s="64">
        <v>45992.0</v>
      </c>
      <c r="B2" s="15">
        <v>0.0</v>
      </c>
      <c r="C2" s="15">
        <v>1.5E7</v>
      </c>
      <c r="D2" s="15">
        <v>0.0</v>
      </c>
      <c r="E2" s="15">
        <v>1.5E7</v>
      </c>
      <c r="F2" s="15">
        <v>1.5E7</v>
      </c>
      <c r="G2" s="65" t="b">
        <v>1</v>
      </c>
    </row>
    <row r="3" ht="22.5" customHeight="1">
      <c r="A3" s="64">
        <v>46023.0</v>
      </c>
      <c r="B3" s="15">
        <v>1.5E7</v>
      </c>
      <c r="C3" s="15">
        <v>1.0E7</v>
      </c>
      <c r="D3" s="15">
        <v>0.0</v>
      </c>
      <c r="E3" s="15">
        <v>1.0E7</v>
      </c>
      <c r="F3" s="15">
        <v>2.5E7</v>
      </c>
      <c r="G3" s="65" t="b">
        <v>1</v>
      </c>
    </row>
    <row r="4" ht="22.5" customHeight="1">
      <c r="A4" s="64">
        <v>46054.0</v>
      </c>
      <c r="B4" s="15">
        <v>2.5E7</v>
      </c>
      <c r="C4" s="15">
        <v>3.6E7</v>
      </c>
      <c r="D4" s="15">
        <v>300000.0</v>
      </c>
      <c r="E4" s="15">
        <v>3.57E7</v>
      </c>
      <c r="F4" s="15">
        <v>6.07E7</v>
      </c>
      <c r="G4" s="65" t="b">
        <v>1</v>
      </c>
    </row>
    <row r="5" ht="22.5" customHeight="1">
      <c r="A5" s="64">
        <v>46082.0</v>
      </c>
      <c r="B5" s="15">
        <v>6.07E7</v>
      </c>
      <c r="C5" s="15">
        <v>1000000.0</v>
      </c>
      <c r="D5" s="15">
        <v>100000.0</v>
      </c>
      <c r="E5" s="15">
        <v>900000.0</v>
      </c>
      <c r="F5" s="15">
        <v>6.16E7</v>
      </c>
      <c r="G5" s="65" t="b">
        <v>1</v>
      </c>
    </row>
    <row r="6" ht="22.5" customHeight="1">
      <c r="A6" s="64">
        <v>46113.0</v>
      </c>
      <c r="B6" s="15">
        <v>6.16E7</v>
      </c>
      <c r="C6" s="15">
        <v>1.3E7</v>
      </c>
      <c r="D6" s="15">
        <v>300000.0</v>
      </c>
      <c r="E6" s="15">
        <v>1.27E7</v>
      </c>
      <c r="F6" s="15">
        <v>7.43E7</v>
      </c>
      <c r="G6" s="65" t="b">
        <v>1</v>
      </c>
    </row>
    <row r="7" ht="22.5" customHeight="1">
      <c r="G7" s="65"/>
    </row>
    <row r="8" ht="22.5" customHeight="1">
      <c r="G8" s="65"/>
    </row>
    <row r="9" ht="22.5" customHeight="1">
      <c r="G9" s="65"/>
    </row>
    <row r="10" ht="22.5" customHeight="1">
      <c r="G10" s="65"/>
    </row>
    <row r="11" ht="22.5" customHeight="1">
      <c r="G11" s="65"/>
    </row>
    <row r="12" ht="22.5" customHeight="1">
      <c r="G12" s="65"/>
    </row>
    <row r="13" ht="22.5" customHeight="1">
      <c r="G13" s="65"/>
    </row>
    <row r="14" ht="22.5" customHeight="1">
      <c r="G14" s="65"/>
    </row>
    <row r="15" ht="22.5" customHeight="1">
      <c r="G15" s="65"/>
    </row>
    <row r="16" ht="22.5" customHeight="1">
      <c r="G16" s="65"/>
    </row>
    <row r="17" ht="22.5" customHeight="1">
      <c r="G17" s="65"/>
    </row>
    <row r="18" ht="22.5" customHeight="1">
      <c r="G18" s="65"/>
    </row>
    <row r="19" ht="22.5" customHeight="1">
      <c r="G19" s="65"/>
    </row>
    <row r="20" ht="22.5" customHeight="1">
      <c r="G20" s="65"/>
    </row>
    <row r="21" ht="22.5" customHeight="1">
      <c r="G21" s="65"/>
    </row>
    <row r="22" ht="22.5" customHeight="1">
      <c r="G22" s="65"/>
    </row>
    <row r="23" ht="22.5" customHeight="1">
      <c r="G23" s="65"/>
    </row>
    <row r="24" ht="22.5" customHeight="1">
      <c r="G24" s="65"/>
    </row>
  </sheetData>
  <drawing r:id="rId4"/>
  <legacyDrawing r:id="rId5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1.63"/>
    <col customWidth="1" min="3" max="3" width="16.0"/>
    <col customWidth="1" min="4" max="4" width="15.88"/>
    <col customWidth="1" min="5" max="5" width="14.88"/>
    <col customWidth="1" min="6" max="6" width="17.5"/>
    <col customWidth="1" min="7" max="7" width="13.63"/>
  </cols>
  <sheetData>
    <row r="1" ht="22.5" customHeight="1">
      <c r="A1" s="66" t="s">
        <v>289</v>
      </c>
      <c r="B1" s="66" t="s">
        <v>0</v>
      </c>
      <c r="C1" s="67" t="s">
        <v>296</v>
      </c>
      <c r="D1" s="66" t="s">
        <v>297</v>
      </c>
      <c r="E1" s="66" t="s">
        <v>298</v>
      </c>
      <c r="F1" s="66" t="s">
        <v>299</v>
      </c>
      <c r="G1" s="68" t="s">
        <v>19</v>
      </c>
    </row>
    <row r="2" ht="22.5" customHeight="1">
      <c r="A2" s="64">
        <v>45992.0</v>
      </c>
      <c r="B2" s="3" t="s">
        <v>86</v>
      </c>
      <c r="C2" s="45">
        <v>0.0</v>
      </c>
      <c r="D2" s="15">
        <v>2603305.785123967</v>
      </c>
      <c r="E2" s="15">
        <v>2603305.785123967</v>
      </c>
      <c r="F2" s="15">
        <v>2603305.785123967</v>
      </c>
      <c r="G2" s="21" t="s">
        <v>300</v>
      </c>
    </row>
    <row r="3" ht="22.5" customHeight="1">
      <c r="A3" s="64">
        <v>46023.0</v>
      </c>
      <c r="B3" s="3" t="s">
        <v>70</v>
      </c>
      <c r="C3" s="45">
        <v>0.0</v>
      </c>
      <c r="D3" s="15">
        <v>1735537.1900826446</v>
      </c>
      <c r="E3" s="15">
        <v>1735537.1900826446</v>
      </c>
      <c r="F3" s="15">
        <v>4338842.975206612</v>
      </c>
      <c r="G3" s="21" t="s">
        <v>300</v>
      </c>
    </row>
    <row r="4" ht="22.5" customHeight="1">
      <c r="A4" s="69">
        <v>46054.0</v>
      </c>
      <c r="B4" s="21" t="s">
        <v>10</v>
      </c>
      <c r="C4" s="70">
        <v>52066.115702479336</v>
      </c>
      <c r="D4" s="18">
        <v>0.0</v>
      </c>
      <c r="E4" s="18">
        <v>-52066.115702479336</v>
      </c>
      <c r="F4" s="18">
        <v>4286776.8595041325</v>
      </c>
      <c r="G4" s="21" t="s">
        <v>301</v>
      </c>
    </row>
    <row r="5" ht="22.5" customHeight="1">
      <c r="A5" s="69">
        <v>46054.0</v>
      </c>
      <c r="B5" s="21" t="s">
        <v>70</v>
      </c>
      <c r="C5" s="70">
        <v>0.0</v>
      </c>
      <c r="D5" s="18">
        <v>2256198.347107438</v>
      </c>
      <c r="E5" s="18">
        <v>2256198.347107438</v>
      </c>
      <c r="F5" s="18">
        <v>6542975.20661157</v>
      </c>
      <c r="G5" s="21" t="s">
        <v>300</v>
      </c>
    </row>
    <row r="6" ht="22.5" customHeight="1">
      <c r="A6" s="69">
        <v>46054.0</v>
      </c>
      <c r="B6" s="21" t="s">
        <v>74</v>
      </c>
      <c r="C6" s="70">
        <v>0.0</v>
      </c>
      <c r="D6" s="18">
        <v>3471074.380165289</v>
      </c>
      <c r="E6" s="18">
        <v>3471074.380165289</v>
      </c>
      <c r="F6" s="18">
        <v>1.001404958677686E7</v>
      </c>
      <c r="G6" s="21" t="s">
        <v>300</v>
      </c>
    </row>
    <row r="7" ht="22.5" customHeight="1">
      <c r="A7" s="69">
        <v>46054.0</v>
      </c>
      <c r="B7" s="21" t="s">
        <v>78</v>
      </c>
      <c r="C7" s="70">
        <v>0.0</v>
      </c>
      <c r="D7" s="18">
        <v>173553.71900826445</v>
      </c>
      <c r="E7" s="18">
        <v>173553.71900826445</v>
      </c>
      <c r="F7" s="18">
        <v>1.0187603305785125E7</v>
      </c>
      <c r="G7" s="21" t="s">
        <v>300</v>
      </c>
    </row>
    <row r="8" ht="22.5" customHeight="1">
      <c r="A8" s="69">
        <v>46054.0</v>
      </c>
      <c r="B8" s="21" t="s">
        <v>76</v>
      </c>
      <c r="C8" s="70">
        <v>0.0</v>
      </c>
      <c r="D8" s="18">
        <v>347107.4380165289</v>
      </c>
      <c r="E8" s="18">
        <v>347107.4380165289</v>
      </c>
      <c r="F8" s="18">
        <v>1.0534710743801653E7</v>
      </c>
      <c r="G8" s="21" t="s">
        <v>300</v>
      </c>
    </row>
    <row r="9" ht="22.5" customHeight="1">
      <c r="A9" s="69">
        <v>46082.0</v>
      </c>
      <c r="B9" s="21" t="s">
        <v>13</v>
      </c>
      <c r="C9" s="70">
        <v>17355.371900826445</v>
      </c>
      <c r="D9" s="18">
        <v>0.0</v>
      </c>
      <c r="E9" s="18">
        <v>-17355.371900826445</v>
      </c>
      <c r="F9" s="18">
        <v>1.0517355371900827E7</v>
      </c>
      <c r="G9" s="21" t="s">
        <v>301</v>
      </c>
    </row>
    <row r="10" ht="22.5" customHeight="1">
      <c r="A10" s="69">
        <v>46082.0</v>
      </c>
      <c r="B10" s="21" t="s">
        <v>76</v>
      </c>
      <c r="C10" s="70">
        <v>0.0</v>
      </c>
      <c r="D10" s="18">
        <v>173553.71900826445</v>
      </c>
      <c r="E10" s="18">
        <v>173553.71900826445</v>
      </c>
      <c r="F10" s="18">
        <v>1.0690909090909092E7</v>
      </c>
      <c r="G10" s="21" t="s">
        <v>300</v>
      </c>
    </row>
    <row r="11" ht="22.5" customHeight="1">
      <c r="A11" s="69">
        <v>46113.0</v>
      </c>
      <c r="B11" s="21" t="s">
        <v>10</v>
      </c>
      <c r="C11" s="70">
        <v>34710.74380165289</v>
      </c>
      <c r="D11" s="18">
        <v>0.0</v>
      </c>
      <c r="E11" s="18">
        <v>-34710.74380165289</v>
      </c>
      <c r="F11" s="18">
        <v>1.0656198347107438E7</v>
      </c>
      <c r="G11" s="21" t="s">
        <v>301</v>
      </c>
    </row>
    <row r="12" ht="22.5" customHeight="1">
      <c r="A12" s="69">
        <v>46113.0</v>
      </c>
      <c r="B12" s="21" t="s">
        <v>13</v>
      </c>
      <c r="C12" s="70">
        <v>17355.371900826445</v>
      </c>
      <c r="D12" s="18">
        <v>0.0</v>
      </c>
      <c r="E12" s="18">
        <v>-17355.371900826445</v>
      </c>
      <c r="F12" s="18">
        <v>1.0638842975206612E7</v>
      </c>
      <c r="G12" s="21" t="s">
        <v>301</v>
      </c>
    </row>
    <row r="13" ht="22.5" customHeight="1">
      <c r="A13" s="69">
        <v>46113.0</v>
      </c>
      <c r="B13" s="21" t="s">
        <v>74</v>
      </c>
      <c r="C13" s="70">
        <v>0.0</v>
      </c>
      <c r="D13" s="18">
        <v>173553.71900826445</v>
      </c>
      <c r="E13" s="18">
        <v>173553.71900826445</v>
      </c>
      <c r="F13" s="18">
        <v>1.0812396694214877E7</v>
      </c>
      <c r="G13" s="21" t="s">
        <v>300</v>
      </c>
    </row>
    <row r="14" ht="22.5" customHeight="1">
      <c r="A14" s="69">
        <v>46113.0</v>
      </c>
      <c r="B14" s="21" t="s">
        <v>78</v>
      </c>
      <c r="C14" s="70">
        <v>0.0</v>
      </c>
      <c r="D14" s="18">
        <v>607438.0165289256</v>
      </c>
      <c r="E14" s="18">
        <v>607438.0165289256</v>
      </c>
      <c r="F14" s="18">
        <v>1.1419834710743802E7</v>
      </c>
      <c r="G14" s="21" t="s">
        <v>300</v>
      </c>
    </row>
    <row r="15" ht="22.5" customHeight="1">
      <c r="A15" s="69">
        <v>46113.0</v>
      </c>
      <c r="B15" s="21" t="s">
        <v>82</v>
      </c>
      <c r="C15" s="70">
        <v>0.0</v>
      </c>
      <c r="D15" s="18">
        <v>520661.1570247934</v>
      </c>
      <c r="E15" s="18">
        <v>520661.1570247934</v>
      </c>
      <c r="F15" s="18">
        <v>1.1940495867768595E7</v>
      </c>
      <c r="G15" s="21" t="s">
        <v>300</v>
      </c>
    </row>
    <row r="16" ht="22.5" customHeight="1">
      <c r="A16" s="69">
        <v>46113.0</v>
      </c>
      <c r="B16" s="21" t="s">
        <v>70</v>
      </c>
      <c r="C16" s="70">
        <v>0.0</v>
      </c>
      <c r="D16" s="18">
        <v>433884.29752066114</v>
      </c>
      <c r="E16" s="18">
        <v>433884.29752066114</v>
      </c>
      <c r="F16" s="18">
        <v>1.2374380165289257E7</v>
      </c>
      <c r="G16" s="21" t="s">
        <v>300</v>
      </c>
    </row>
    <row r="17" ht="22.5" customHeight="1">
      <c r="A17" s="69">
        <v>46113.0</v>
      </c>
      <c r="B17" s="21" t="s">
        <v>76</v>
      </c>
      <c r="C17" s="70">
        <v>0.0</v>
      </c>
      <c r="D17" s="18">
        <v>520661.1570247934</v>
      </c>
      <c r="E17" s="18">
        <v>520661.1570247934</v>
      </c>
      <c r="F17" s="18">
        <v>1.289504132231405E7</v>
      </c>
      <c r="G17" s="21" t="s">
        <v>300</v>
      </c>
    </row>
    <row r="18" ht="22.5" customHeight="1">
      <c r="A18" s="69"/>
      <c r="B18" s="21"/>
      <c r="C18" s="70"/>
      <c r="D18" s="18"/>
      <c r="E18" s="18"/>
      <c r="F18" s="18"/>
      <c r="G18" s="21"/>
    </row>
    <row r="19">
      <c r="C19" s="55"/>
    </row>
    <row r="20">
      <c r="C20" s="55"/>
    </row>
    <row r="21">
      <c r="C21" s="55"/>
    </row>
    <row r="22">
      <c r="C22" s="55"/>
    </row>
    <row r="23">
      <c r="C23" s="55"/>
    </row>
    <row r="24">
      <c r="C24" s="55"/>
    </row>
    <row r="25">
      <c r="C25" s="55"/>
    </row>
    <row r="26">
      <c r="C26" s="55"/>
    </row>
    <row r="27">
      <c r="C27" s="55"/>
    </row>
    <row r="28">
      <c r="C28" s="55"/>
    </row>
    <row r="29">
      <c r="C29" s="55"/>
    </row>
    <row r="30">
      <c r="C30" s="55"/>
    </row>
    <row r="31">
      <c r="C31" s="55"/>
    </row>
    <row r="32">
      <c r="C32" s="55"/>
    </row>
    <row r="33">
      <c r="C33" s="55"/>
    </row>
    <row r="34">
      <c r="C34" s="55"/>
    </row>
    <row r="35">
      <c r="C35" s="55"/>
    </row>
    <row r="36">
      <c r="C36" s="55"/>
    </row>
    <row r="37">
      <c r="C37" s="55"/>
    </row>
    <row r="38">
      <c r="C38" s="55"/>
    </row>
    <row r="39">
      <c r="C39" s="55"/>
    </row>
    <row r="40">
      <c r="C40" s="55"/>
    </row>
    <row r="41">
      <c r="C41" s="55"/>
    </row>
    <row r="42">
      <c r="C42" s="55"/>
    </row>
    <row r="43">
      <c r="C43" s="55"/>
    </row>
    <row r="44">
      <c r="C44" s="55"/>
    </row>
    <row r="45">
      <c r="C45" s="55"/>
    </row>
    <row r="46">
      <c r="C46" s="55"/>
    </row>
    <row r="47">
      <c r="C47" s="55"/>
    </row>
    <row r="48">
      <c r="C48" s="55"/>
    </row>
    <row r="49">
      <c r="C49" s="55"/>
    </row>
    <row r="50">
      <c r="C50" s="55"/>
    </row>
    <row r="51">
      <c r="C51" s="55"/>
    </row>
    <row r="52">
      <c r="C52" s="55"/>
    </row>
    <row r="53">
      <c r="C53" s="55"/>
    </row>
    <row r="54">
      <c r="C54" s="55"/>
    </row>
    <row r="55">
      <c r="C55" s="55"/>
    </row>
    <row r="56">
      <c r="C56" s="55"/>
    </row>
    <row r="57">
      <c r="C57" s="55"/>
    </row>
    <row r="58">
      <c r="C58" s="55"/>
    </row>
    <row r="59">
      <c r="C59" s="55"/>
    </row>
    <row r="60">
      <c r="C60" s="55"/>
    </row>
    <row r="61">
      <c r="C61" s="55"/>
    </row>
    <row r="62">
      <c r="C62" s="55"/>
    </row>
    <row r="63">
      <c r="C63" s="55"/>
    </row>
    <row r="64">
      <c r="C64" s="55"/>
    </row>
    <row r="65">
      <c r="C65" s="55"/>
    </row>
    <row r="66">
      <c r="C66" s="55"/>
    </row>
    <row r="67">
      <c r="C67" s="55"/>
    </row>
    <row r="68">
      <c r="C68" s="55"/>
    </row>
    <row r="69">
      <c r="C69" s="55"/>
    </row>
    <row r="70">
      <c r="C70" s="55"/>
    </row>
    <row r="71">
      <c r="C71" s="55"/>
    </row>
    <row r="72">
      <c r="C72" s="55"/>
    </row>
    <row r="73">
      <c r="C73" s="55"/>
    </row>
    <row r="74">
      <c r="C74" s="55"/>
    </row>
    <row r="75">
      <c r="C75" s="55"/>
    </row>
    <row r="76">
      <c r="C76" s="55"/>
    </row>
    <row r="77">
      <c r="C77" s="55"/>
    </row>
    <row r="78">
      <c r="C78" s="55"/>
    </row>
    <row r="79">
      <c r="C79" s="55"/>
    </row>
    <row r="80">
      <c r="C80" s="55"/>
    </row>
    <row r="81">
      <c r="C81" s="55"/>
    </row>
    <row r="82">
      <c r="C82" s="55"/>
    </row>
    <row r="83">
      <c r="C83" s="55"/>
    </row>
    <row r="84">
      <c r="C84" s="55"/>
    </row>
    <row r="85">
      <c r="C85" s="55"/>
    </row>
    <row r="86">
      <c r="C86" s="55"/>
    </row>
    <row r="87">
      <c r="C87" s="55"/>
    </row>
    <row r="88">
      <c r="C88" s="55"/>
    </row>
    <row r="89">
      <c r="C89" s="55"/>
    </row>
    <row r="90">
      <c r="C90" s="55"/>
    </row>
    <row r="91">
      <c r="C91" s="55"/>
    </row>
    <row r="92">
      <c r="C92" s="55"/>
    </row>
    <row r="93">
      <c r="C93" s="55"/>
    </row>
    <row r="94">
      <c r="C94" s="55"/>
    </row>
    <row r="95">
      <c r="C95" s="55"/>
    </row>
    <row r="96">
      <c r="C96" s="55"/>
    </row>
    <row r="97">
      <c r="C97" s="55"/>
    </row>
    <row r="98">
      <c r="C98" s="55"/>
    </row>
    <row r="99">
      <c r="C99" s="55"/>
    </row>
    <row r="100">
      <c r="C100" s="55"/>
    </row>
    <row r="101">
      <c r="C101" s="55"/>
    </row>
    <row r="102">
      <c r="C102" s="55"/>
    </row>
    <row r="103">
      <c r="C103" s="55"/>
    </row>
    <row r="104">
      <c r="C104" s="55"/>
    </row>
    <row r="105">
      <c r="C105" s="55"/>
    </row>
    <row r="106">
      <c r="C106" s="55"/>
    </row>
    <row r="107">
      <c r="C107" s="55"/>
    </row>
    <row r="108">
      <c r="C108" s="55"/>
    </row>
    <row r="109">
      <c r="C109" s="55"/>
    </row>
    <row r="110">
      <c r="C110" s="55"/>
    </row>
    <row r="111">
      <c r="C111" s="55"/>
    </row>
    <row r="112">
      <c r="C112" s="55"/>
    </row>
    <row r="113">
      <c r="C113" s="55"/>
    </row>
    <row r="114">
      <c r="C114" s="55"/>
    </row>
    <row r="115">
      <c r="C115" s="55"/>
    </row>
    <row r="116">
      <c r="C116" s="55"/>
    </row>
    <row r="117">
      <c r="C117" s="55"/>
    </row>
    <row r="118">
      <c r="C118" s="55"/>
    </row>
    <row r="119">
      <c r="C119" s="55"/>
    </row>
    <row r="120">
      <c r="C120" s="55"/>
    </row>
    <row r="121">
      <c r="C121" s="55"/>
    </row>
    <row r="122">
      <c r="C122" s="55"/>
    </row>
    <row r="123">
      <c r="C123" s="55"/>
    </row>
    <row r="124">
      <c r="C124" s="55"/>
    </row>
    <row r="125">
      <c r="C125" s="55"/>
    </row>
    <row r="126">
      <c r="C126" s="55"/>
    </row>
    <row r="127">
      <c r="C127" s="55"/>
    </row>
    <row r="128">
      <c r="C128" s="55"/>
    </row>
    <row r="129">
      <c r="C129" s="55"/>
    </row>
    <row r="130">
      <c r="C130" s="55"/>
    </row>
    <row r="131">
      <c r="C131" s="55"/>
    </row>
    <row r="132">
      <c r="C132" s="55"/>
    </row>
    <row r="133">
      <c r="C133" s="55"/>
    </row>
    <row r="134">
      <c r="C134" s="55"/>
    </row>
    <row r="135">
      <c r="C135" s="55"/>
    </row>
    <row r="136">
      <c r="C136" s="55"/>
    </row>
    <row r="137">
      <c r="C137" s="55"/>
    </row>
    <row r="138">
      <c r="C138" s="55"/>
    </row>
    <row r="139">
      <c r="C139" s="55"/>
    </row>
    <row r="140">
      <c r="C140" s="55"/>
    </row>
    <row r="141">
      <c r="C141" s="55"/>
    </row>
    <row r="142">
      <c r="C142" s="55"/>
    </row>
    <row r="143">
      <c r="C143" s="55"/>
    </row>
    <row r="144">
      <c r="C144" s="55"/>
    </row>
    <row r="145">
      <c r="C145" s="55"/>
    </row>
    <row r="146">
      <c r="C146" s="55"/>
    </row>
    <row r="147">
      <c r="C147" s="55"/>
    </row>
    <row r="148">
      <c r="C148" s="55"/>
    </row>
    <row r="149">
      <c r="C149" s="55"/>
    </row>
    <row r="150">
      <c r="C150" s="55"/>
    </row>
    <row r="151">
      <c r="C151" s="55"/>
    </row>
    <row r="152">
      <c r="C152" s="55"/>
    </row>
    <row r="153">
      <c r="C153" s="55"/>
    </row>
    <row r="154">
      <c r="C154" s="55"/>
    </row>
    <row r="155">
      <c r="C155" s="55"/>
    </row>
    <row r="156">
      <c r="C156" s="55"/>
    </row>
    <row r="157">
      <c r="C157" s="55"/>
    </row>
    <row r="158">
      <c r="C158" s="55"/>
    </row>
    <row r="159">
      <c r="C159" s="55"/>
    </row>
    <row r="160">
      <c r="C160" s="55"/>
    </row>
    <row r="161">
      <c r="C161" s="55"/>
    </row>
    <row r="162">
      <c r="C162" s="55"/>
    </row>
    <row r="163">
      <c r="C163" s="55"/>
    </row>
    <row r="164">
      <c r="C164" s="55"/>
    </row>
    <row r="165">
      <c r="C165" s="55"/>
    </row>
    <row r="166">
      <c r="C166" s="55"/>
    </row>
    <row r="167">
      <c r="C167" s="55"/>
    </row>
    <row r="168">
      <c r="C168" s="55"/>
    </row>
    <row r="169">
      <c r="C169" s="55"/>
    </row>
    <row r="170">
      <c r="C170" s="55"/>
    </row>
    <row r="171">
      <c r="C171" s="55"/>
    </row>
    <row r="172">
      <c r="C172" s="55"/>
    </row>
    <row r="173">
      <c r="C173" s="55"/>
    </row>
    <row r="174">
      <c r="C174" s="55"/>
    </row>
    <row r="175">
      <c r="C175" s="55"/>
    </row>
    <row r="176">
      <c r="C176" s="55"/>
    </row>
    <row r="177">
      <c r="C177" s="55"/>
    </row>
    <row r="178">
      <c r="C178" s="55"/>
    </row>
    <row r="179">
      <c r="C179" s="55"/>
    </row>
    <row r="180">
      <c r="C180" s="55"/>
    </row>
    <row r="181">
      <c r="C181" s="55"/>
    </row>
    <row r="182">
      <c r="C182" s="55"/>
    </row>
    <row r="183">
      <c r="C183" s="55"/>
    </row>
    <row r="184">
      <c r="C184" s="55"/>
    </row>
    <row r="185">
      <c r="C185" s="55"/>
    </row>
    <row r="186">
      <c r="C186" s="55"/>
    </row>
    <row r="187">
      <c r="C187" s="55"/>
    </row>
    <row r="188">
      <c r="C188" s="55"/>
    </row>
    <row r="189">
      <c r="C189" s="55"/>
    </row>
    <row r="190">
      <c r="C190" s="55"/>
    </row>
    <row r="191">
      <c r="C191" s="55"/>
    </row>
    <row r="192">
      <c r="C192" s="55"/>
    </row>
    <row r="193">
      <c r="C193" s="55"/>
    </row>
    <row r="194">
      <c r="C194" s="55"/>
    </row>
    <row r="195">
      <c r="C195" s="55"/>
    </row>
    <row r="196">
      <c r="C196" s="55"/>
    </row>
    <row r="197">
      <c r="C197" s="55"/>
    </row>
    <row r="198">
      <c r="C198" s="55"/>
    </row>
    <row r="199">
      <c r="C199" s="55"/>
    </row>
    <row r="200">
      <c r="C200" s="55"/>
    </row>
    <row r="201">
      <c r="C201" s="55"/>
    </row>
    <row r="202">
      <c r="C202" s="55"/>
    </row>
    <row r="203">
      <c r="C203" s="55"/>
    </row>
    <row r="204">
      <c r="C204" s="55"/>
    </row>
    <row r="205">
      <c r="C205" s="55"/>
    </row>
    <row r="206">
      <c r="C206" s="55"/>
    </row>
    <row r="207">
      <c r="C207" s="55"/>
    </row>
    <row r="208">
      <c r="C208" s="55"/>
    </row>
    <row r="209">
      <c r="C209" s="55"/>
    </row>
    <row r="210">
      <c r="C210" s="55"/>
    </row>
    <row r="211">
      <c r="C211" s="55"/>
    </row>
    <row r="212">
      <c r="C212" s="55"/>
    </row>
    <row r="213">
      <c r="C213" s="55"/>
    </row>
    <row r="214">
      <c r="C214" s="55"/>
    </row>
    <row r="215">
      <c r="C215" s="55"/>
    </row>
    <row r="216">
      <c r="C216" s="55"/>
    </row>
    <row r="217">
      <c r="C217" s="55"/>
    </row>
    <row r="218">
      <c r="C218" s="55"/>
    </row>
    <row r="219">
      <c r="C219" s="55"/>
    </row>
    <row r="220">
      <c r="C220" s="55"/>
    </row>
    <row r="221">
      <c r="C221" s="55"/>
    </row>
    <row r="222">
      <c r="C222" s="55"/>
    </row>
    <row r="223">
      <c r="C223" s="55"/>
    </row>
    <row r="224">
      <c r="C224" s="55"/>
    </row>
    <row r="225">
      <c r="C225" s="55"/>
    </row>
    <row r="226">
      <c r="C226" s="55"/>
    </row>
    <row r="227">
      <c r="C227" s="55"/>
    </row>
    <row r="228">
      <c r="C228" s="55"/>
    </row>
    <row r="229">
      <c r="C229" s="55"/>
    </row>
    <row r="230">
      <c r="C230" s="55"/>
    </row>
    <row r="231">
      <c r="C231" s="55"/>
    </row>
    <row r="232">
      <c r="C232" s="55"/>
    </row>
    <row r="233">
      <c r="C233" s="55"/>
    </row>
    <row r="234">
      <c r="C234" s="55"/>
    </row>
    <row r="235">
      <c r="C235" s="55"/>
    </row>
    <row r="236">
      <c r="C236" s="55"/>
    </row>
    <row r="237">
      <c r="C237" s="55"/>
    </row>
    <row r="238">
      <c r="C238" s="55"/>
    </row>
    <row r="239">
      <c r="C239" s="55"/>
    </row>
    <row r="240">
      <c r="C240" s="55"/>
    </row>
    <row r="241">
      <c r="C241" s="55"/>
    </row>
    <row r="242">
      <c r="C242" s="55"/>
    </row>
    <row r="243">
      <c r="C243" s="55"/>
    </row>
    <row r="244">
      <c r="C244" s="55"/>
    </row>
    <row r="245">
      <c r="C245" s="55"/>
    </row>
    <row r="246">
      <c r="C246" s="55"/>
    </row>
    <row r="247">
      <c r="C247" s="55"/>
    </row>
    <row r="248">
      <c r="C248" s="55"/>
    </row>
    <row r="249">
      <c r="C249" s="55"/>
    </row>
    <row r="250">
      <c r="C250" s="55"/>
    </row>
    <row r="251">
      <c r="C251" s="55"/>
    </row>
    <row r="252">
      <c r="C252" s="55"/>
    </row>
    <row r="253">
      <c r="C253" s="55"/>
    </row>
    <row r="254">
      <c r="C254" s="55"/>
    </row>
    <row r="255">
      <c r="C255" s="55"/>
    </row>
    <row r="256">
      <c r="C256" s="55"/>
    </row>
    <row r="257">
      <c r="C257" s="55"/>
    </row>
    <row r="258">
      <c r="C258" s="55"/>
    </row>
    <row r="259">
      <c r="C259" s="55"/>
    </row>
    <row r="260">
      <c r="C260" s="55"/>
    </row>
    <row r="261">
      <c r="C261" s="55"/>
    </row>
    <row r="262">
      <c r="C262" s="55"/>
    </row>
    <row r="263">
      <c r="C263" s="55"/>
    </row>
    <row r="264">
      <c r="C264" s="55"/>
    </row>
    <row r="265">
      <c r="C265" s="55"/>
    </row>
    <row r="266">
      <c r="C266" s="55"/>
    </row>
    <row r="267">
      <c r="C267" s="55"/>
    </row>
    <row r="268">
      <c r="C268" s="55"/>
    </row>
    <row r="269">
      <c r="C269" s="55"/>
    </row>
    <row r="270">
      <c r="C270" s="55"/>
    </row>
    <row r="271">
      <c r="C271" s="55"/>
    </row>
    <row r="272">
      <c r="C272" s="55"/>
    </row>
    <row r="273">
      <c r="C273" s="55"/>
    </row>
    <row r="274">
      <c r="C274" s="55"/>
    </row>
    <row r="275">
      <c r="C275" s="55"/>
    </row>
    <row r="276">
      <c r="C276" s="55"/>
    </row>
    <row r="277">
      <c r="C277" s="55"/>
    </row>
    <row r="278">
      <c r="C278" s="55"/>
    </row>
    <row r="279">
      <c r="C279" s="55"/>
    </row>
    <row r="280">
      <c r="C280" s="55"/>
    </row>
    <row r="281">
      <c r="C281" s="55"/>
    </row>
    <row r="282">
      <c r="C282" s="55"/>
    </row>
    <row r="283">
      <c r="C283" s="55"/>
    </row>
    <row r="284">
      <c r="C284" s="55"/>
    </row>
    <row r="285">
      <c r="C285" s="55"/>
    </row>
    <row r="286">
      <c r="C286" s="55"/>
    </row>
    <row r="287">
      <c r="C287" s="55"/>
    </row>
    <row r="288">
      <c r="C288" s="55"/>
    </row>
    <row r="289">
      <c r="C289" s="55"/>
    </row>
    <row r="290">
      <c r="C290" s="55"/>
    </row>
    <row r="291">
      <c r="C291" s="55"/>
    </row>
    <row r="292">
      <c r="C292" s="55"/>
    </row>
    <row r="293">
      <c r="C293" s="55"/>
    </row>
    <row r="294">
      <c r="C294" s="55"/>
    </row>
    <row r="295">
      <c r="C295" s="55"/>
    </row>
    <row r="296">
      <c r="C296" s="55"/>
    </row>
    <row r="297">
      <c r="C297" s="55"/>
    </row>
    <row r="298">
      <c r="C298" s="55"/>
    </row>
    <row r="299">
      <c r="C299" s="55"/>
    </row>
    <row r="300">
      <c r="C300" s="55"/>
    </row>
    <row r="301">
      <c r="C301" s="55"/>
    </row>
    <row r="302">
      <c r="C302" s="55"/>
    </row>
    <row r="303">
      <c r="C303" s="55"/>
    </row>
    <row r="304">
      <c r="C304" s="55"/>
    </row>
    <row r="305">
      <c r="C305" s="55"/>
    </row>
    <row r="306">
      <c r="C306" s="55"/>
    </row>
    <row r="307">
      <c r="C307" s="55"/>
    </row>
    <row r="308">
      <c r="C308" s="55"/>
    </row>
    <row r="309">
      <c r="C309" s="55"/>
    </row>
    <row r="310">
      <c r="C310" s="55"/>
    </row>
    <row r="311">
      <c r="C311" s="55"/>
    </row>
    <row r="312">
      <c r="C312" s="55"/>
    </row>
    <row r="313">
      <c r="C313" s="55"/>
    </row>
    <row r="314">
      <c r="C314" s="55"/>
    </row>
    <row r="315">
      <c r="C315" s="55"/>
    </row>
    <row r="316">
      <c r="C316" s="55"/>
    </row>
    <row r="317">
      <c r="C317" s="55"/>
    </row>
    <row r="318">
      <c r="C318" s="55"/>
    </row>
    <row r="319">
      <c r="C319" s="55"/>
    </row>
    <row r="320">
      <c r="C320" s="55"/>
    </row>
    <row r="321">
      <c r="C321" s="55"/>
    </row>
    <row r="322">
      <c r="C322" s="55"/>
    </row>
    <row r="323">
      <c r="C323" s="55"/>
    </row>
    <row r="324">
      <c r="C324" s="55"/>
    </row>
    <row r="325">
      <c r="C325" s="55"/>
    </row>
    <row r="326">
      <c r="C326" s="55"/>
    </row>
    <row r="327">
      <c r="C327" s="55"/>
    </row>
    <row r="328">
      <c r="C328" s="55"/>
    </row>
    <row r="329">
      <c r="C329" s="55"/>
    </row>
    <row r="330">
      <c r="C330" s="55"/>
    </row>
    <row r="331">
      <c r="C331" s="55"/>
    </row>
    <row r="332">
      <c r="C332" s="55"/>
    </row>
    <row r="333">
      <c r="C333" s="55"/>
    </row>
    <row r="334">
      <c r="C334" s="55"/>
    </row>
    <row r="335">
      <c r="C335" s="55"/>
    </row>
    <row r="336">
      <c r="C336" s="55"/>
    </row>
    <row r="337">
      <c r="C337" s="55"/>
    </row>
    <row r="338">
      <c r="C338" s="55"/>
    </row>
    <row r="339">
      <c r="C339" s="55"/>
    </row>
    <row r="340">
      <c r="C340" s="55"/>
    </row>
    <row r="341">
      <c r="C341" s="55"/>
    </row>
    <row r="342">
      <c r="C342" s="55"/>
    </row>
    <row r="343">
      <c r="C343" s="55"/>
    </row>
    <row r="344">
      <c r="C344" s="55"/>
    </row>
    <row r="345">
      <c r="C345" s="55"/>
    </row>
    <row r="346">
      <c r="C346" s="55"/>
    </row>
    <row r="347">
      <c r="C347" s="55"/>
    </row>
    <row r="348">
      <c r="C348" s="55"/>
    </row>
    <row r="349">
      <c r="C349" s="55"/>
    </row>
    <row r="350">
      <c r="C350" s="55"/>
    </row>
    <row r="351">
      <c r="C351" s="55"/>
    </row>
    <row r="352">
      <c r="C352" s="55"/>
    </row>
    <row r="353">
      <c r="C353" s="55"/>
    </row>
    <row r="354">
      <c r="C354" s="55"/>
    </row>
    <row r="355">
      <c r="C355" s="55"/>
    </row>
    <row r="356">
      <c r="C356" s="55"/>
    </row>
    <row r="357">
      <c r="C357" s="55"/>
    </row>
    <row r="358">
      <c r="C358" s="55"/>
    </row>
    <row r="359">
      <c r="C359" s="55"/>
    </row>
    <row r="360">
      <c r="C360" s="55"/>
    </row>
    <row r="361">
      <c r="C361" s="55"/>
    </row>
    <row r="362">
      <c r="C362" s="55"/>
    </row>
    <row r="363">
      <c r="C363" s="55"/>
    </row>
    <row r="364">
      <c r="C364" s="55"/>
    </row>
    <row r="365">
      <c r="C365" s="55"/>
    </row>
    <row r="366">
      <c r="C366" s="55"/>
    </row>
    <row r="367">
      <c r="C367" s="55"/>
    </row>
    <row r="368">
      <c r="C368" s="55"/>
    </row>
    <row r="369">
      <c r="C369" s="55"/>
    </row>
    <row r="370">
      <c r="C370" s="55"/>
    </row>
    <row r="371">
      <c r="C371" s="55"/>
    </row>
    <row r="372">
      <c r="C372" s="55"/>
    </row>
    <row r="373">
      <c r="C373" s="55"/>
    </row>
    <row r="374">
      <c r="C374" s="55"/>
    </row>
    <row r="375">
      <c r="C375" s="55"/>
    </row>
    <row r="376">
      <c r="C376" s="55"/>
    </row>
    <row r="377">
      <c r="C377" s="55"/>
    </row>
    <row r="378">
      <c r="C378" s="55"/>
    </row>
    <row r="379">
      <c r="C379" s="55"/>
    </row>
    <row r="380">
      <c r="C380" s="55"/>
    </row>
    <row r="381">
      <c r="C381" s="55"/>
    </row>
    <row r="382">
      <c r="C382" s="55"/>
    </row>
    <row r="383">
      <c r="C383" s="55"/>
    </row>
    <row r="384">
      <c r="C384" s="55"/>
    </row>
    <row r="385">
      <c r="C385" s="55"/>
    </row>
    <row r="386">
      <c r="C386" s="55"/>
    </row>
    <row r="387">
      <c r="C387" s="55"/>
    </row>
    <row r="388">
      <c r="C388" s="55"/>
    </row>
    <row r="389">
      <c r="C389" s="55"/>
    </row>
    <row r="390">
      <c r="C390" s="55"/>
    </row>
    <row r="391">
      <c r="C391" s="55"/>
    </row>
    <row r="392">
      <c r="C392" s="55"/>
    </row>
    <row r="393">
      <c r="C393" s="55"/>
    </row>
    <row r="394">
      <c r="C394" s="55"/>
    </row>
    <row r="395">
      <c r="C395" s="55"/>
    </row>
    <row r="396">
      <c r="C396" s="55"/>
    </row>
    <row r="397">
      <c r="C397" s="55"/>
    </row>
    <row r="398">
      <c r="C398" s="55"/>
    </row>
    <row r="399">
      <c r="C399" s="55"/>
    </row>
    <row r="400">
      <c r="C400" s="55"/>
    </row>
    <row r="401">
      <c r="C401" s="55"/>
    </row>
    <row r="402">
      <c r="C402" s="55"/>
    </row>
    <row r="403">
      <c r="C403" s="55"/>
    </row>
    <row r="404">
      <c r="C404" s="55"/>
    </row>
    <row r="405">
      <c r="C405" s="55"/>
    </row>
    <row r="406">
      <c r="C406" s="55"/>
    </row>
    <row r="407">
      <c r="C407" s="55"/>
    </row>
    <row r="408">
      <c r="C408" s="55"/>
    </row>
    <row r="409">
      <c r="C409" s="55"/>
    </row>
    <row r="410">
      <c r="C410" s="55"/>
    </row>
    <row r="411">
      <c r="C411" s="55"/>
    </row>
    <row r="412">
      <c r="C412" s="55"/>
    </row>
    <row r="413">
      <c r="C413" s="55"/>
    </row>
    <row r="414">
      <c r="C414" s="55"/>
    </row>
    <row r="415">
      <c r="C415" s="55"/>
    </row>
    <row r="416">
      <c r="C416" s="55"/>
    </row>
    <row r="417">
      <c r="C417" s="55"/>
    </row>
    <row r="418">
      <c r="C418" s="55"/>
    </row>
    <row r="419">
      <c r="C419" s="55"/>
    </row>
    <row r="420">
      <c r="C420" s="55"/>
    </row>
    <row r="421">
      <c r="C421" s="55"/>
    </row>
    <row r="422">
      <c r="C422" s="55"/>
    </row>
    <row r="423">
      <c r="C423" s="55"/>
    </row>
    <row r="424">
      <c r="C424" s="55"/>
    </row>
    <row r="425">
      <c r="C425" s="55"/>
    </row>
    <row r="426">
      <c r="C426" s="55"/>
    </row>
    <row r="427">
      <c r="C427" s="55"/>
    </row>
    <row r="428">
      <c r="C428" s="55"/>
    </row>
    <row r="429">
      <c r="C429" s="55"/>
    </row>
    <row r="430">
      <c r="C430" s="55"/>
    </row>
    <row r="431">
      <c r="C431" s="55"/>
    </row>
    <row r="432">
      <c r="C432" s="55"/>
    </row>
    <row r="433">
      <c r="C433" s="55"/>
    </row>
    <row r="434">
      <c r="C434" s="55"/>
    </row>
    <row r="435">
      <c r="C435" s="55"/>
    </row>
    <row r="436">
      <c r="C436" s="55"/>
    </row>
    <row r="437">
      <c r="C437" s="55"/>
    </row>
    <row r="438">
      <c r="C438" s="55"/>
    </row>
    <row r="439">
      <c r="C439" s="55"/>
    </row>
    <row r="440">
      <c r="C440" s="55"/>
    </row>
    <row r="441">
      <c r="C441" s="55"/>
    </row>
    <row r="442">
      <c r="C442" s="55"/>
    </row>
    <row r="443">
      <c r="C443" s="55"/>
    </row>
    <row r="444">
      <c r="C444" s="55"/>
    </row>
    <row r="445">
      <c r="C445" s="55"/>
    </row>
    <row r="446">
      <c r="C446" s="55"/>
    </row>
    <row r="447">
      <c r="C447" s="55"/>
    </row>
    <row r="448">
      <c r="C448" s="55"/>
    </row>
    <row r="449">
      <c r="C449" s="55"/>
    </row>
    <row r="450">
      <c r="C450" s="55"/>
    </row>
    <row r="451">
      <c r="C451" s="55"/>
    </row>
    <row r="452">
      <c r="C452" s="55"/>
    </row>
    <row r="453">
      <c r="C453" s="55"/>
    </row>
    <row r="454">
      <c r="C454" s="55"/>
    </row>
    <row r="455">
      <c r="C455" s="55"/>
    </row>
    <row r="456">
      <c r="C456" s="55"/>
    </row>
    <row r="457">
      <c r="C457" s="55"/>
    </row>
    <row r="458">
      <c r="C458" s="55"/>
    </row>
    <row r="459">
      <c r="C459" s="55"/>
    </row>
    <row r="460">
      <c r="C460" s="55"/>
    </row>
    <row r="461">
      <c r="C461" s="55"/>
    </row>
    <row r="462">
      <c r="C462" s="55"/>
    </row>
    <row r="463">
      <c r="C463" s="55"/>
    </row>
    <row r="464">
      <c r="C464" s="55"/>
    </row>
    <row r="465">
      <c r="C465" s="55"/>
    </row>
    <row r="466">
      <c r="C466" s="55"/>
    </row>
    <row r="467">
      <c r="C467" s="55"/>
    </row>
    <row r="468">
      <c r="C468" s="55"/>
    </row>
    <row r="469">
      <c r="C469" s="55"/>
    </row>
    <row r="470">
      <c r="C470" s="55"/>
    </row>
    <row r="471">
      <c r="C471" s="55"/>
    </row>
    <row r="472">
      <c r="C472" s="55"/>
    </row>
    <row r="473">
      <c r="C473" s="55"/>
    </row>
    <row r="474">
      <c r="C474" s="55"/>
    </row>
    <row r="475">
      <c r="C475" s="55"/>
    </row>
    <row r="476">
      <c r="C476" s="55"/>
    </row>
    <row r="477">
      <c r="C477" s="55"/>
    </row>
    <row r="478">
      <c r="C478" s="55"/>
    </row>
    <row r="479">
      <c r="C479" s="55"/>
    </row>
    <row r="480">
      <c r="C480" s="55"/>
    </row>
    <row r="481">
      <c r="C481" s="55"/>
    </row>
    <row r="482">
      <c r="C482" s="55"/>
    </row>
    <row r="483">
      <c r="C483" s="55"/>
    </row>
    <row r="484">
      <c r="C484" s="55"/>
    </row>
    <row r="485">
      <c r="C485" s="55"/>
    </row>
    <row r="486">
      <c r="C486" s="55"/>
    </row>
    <row r="487">
      <c r="C487" s="55"/>
    </row>
    <row r="488">
      <c r="C488" s="55"/>
    </row>
    <row r="489">
      <c r="C489" s="55"/>
    </row>
    <row r="490">
      <c r="C490" s="55"/>
    </row>
    <row r="491">
      <c r="C491" s="55"/>
    </row>
    <row r="492">
      <c r="C492" s="55"/>
    </row>
    <row r="493">
      <c r="C493" s="55"/>
    </row>
    <row r="494">
      <c r="C494" s="55"/>
    </row>
    <row r="495">
      <c r="C495" s="55"/>
    </row>
    <row r="496">
      <c r="C496" s="55"/>
    </row>
    <row r="497">
      <c r="C497" s="55"/>
    </row>
    <row r="498">
      <c r="C498" s="55"/>
    </row>
    <row r="499">
      <c r="C499" s="55"/>
    </row>
    <row r="500">
      <c r="C500" s="55"/>
    </row>
    <row r="501">
      <c r="C501" s="55"/>
    </row>
    <row r="502">
      <c r="C502" s="55"/>
    </row>
    <row r="503">
      <c r="C503" s="55"/>
    </row>
    <row r="504">
      <c r="C504" s="55"/>
    </row>
    <row r="505">
      <c r="C505" s="55"/>
    </row>
    <row r="506">
      <c r="C506" s="55"/>
    </row>
    <row r="507">
      <c r="C507" s="55"/>
    </row>
    <row r="508">
      <c r="C508" s="55"/>
    </row>
    <row r="509">
      <c r="C509" s="55"/>
    </row>
    <row r="510">
      <c r="C510" s="55"/>
    </row>
    <row r="511">
      <c r="C511" s="55"/>
    </row>
    <row r="512">
      <c r="C512" s="55"/>
    </row>
    <row r="513">
      <c r="C513" s="55"/>
    </row>
    <row r="514">
      <c r="C514" s="55"/>
    </row>
    <row r="515">
      <c r="C515" s="55"/>
    </row>
    <row r="516">
      <c r="C516" s="55"/>
    </row>
    <row r="517">
      <c r="C517" s="55"/>
    </row>
    <row r="518">
      <c r="C518" s="55"/>
    </row>
    <row r="519">
      <c r="C519" s="55"/>
    </row>
    <row r="520">
      <c r="C520" s="55"/>
    </row>
    <row r="521">
      <c r="C521" s="55"/>
    </row>
    <row r="522">
      <c r="C522" s="55"/>
    </row>
    <row r="523">
      <c r="C523" s="55"/>
    </row>
    <row r="524">
      <c r="C524" s="55"/>
    </row>
    <row r="525">
      <c r="C525" s="55"/>
    </row>
    <row r="526">
      <c r="C526" s="55"/>
    </row>
    <row r="527">
      <c r="C527" s="55"/>
    </row>
    <row r="528">
      <c r="C528" s="55"/>
    </row>
    <row r="529">
      <c r="C529" s="55"/>
    </row>
    <row r="530">
      <c r="C530" s="55"/>
    </row>
    <row r="531">
      <c r="C531" s="55"/>
    </row>
    <row r="532">
      <c r="C532" s="55"/>
    </row>
    <row r="533">
      <c r="C533" s="55"/>
    </row>
    <row r="534">
      <c r="C534" s="55"/>
    </row>
    <row r="535">
      <c r="C535" s="55"/>
    </row>
    <row r="536">
      <c r="C536" s="55"/>
    </row>
    <row r="537">
      <c r="C537" s="55"/>
    </row>
    <row r="538">
      <c r="C538" s="55"/>
    </row>
    <row r="539">
      <c r="C539" s="55"/>
    </row>
    <row r="540">
      <c r="C540" s="55"/>
    </row>
    <row r="541">
      <c r="C541" s="55"/>
    </row>
    <row r="542">
      <c r="C542" s="55"/>
    </row>
    <row r="543">
      <c r="C543" s="55"/>
    </row>
    <row r="544">
      <c r="C544" s="55"/>
    </row>
    <row r="545">
      <c r="C545" s="55"/>
    </row>
    <row r="546">
      <c r="C546" s="55"/>
    </row>
    <row r="547">
      <c r="C547" s="55"/>
    </row>
    <row r="548">
      <c r="C548" s="55"/>
    </row>
    <row r="549">
      <c r="C549" s="55"/>
    </row>
    <row r="550">
      <c r="C550" s="55"/>
    </row>
    <row r="551">
      <c r="C551" s="55"/>
    </row>
    <row r="552">
      <c r="C552" s="55"/>
    </row>
    <row r="553">
      <c r="C553" s="55"/>
    </row>
    <row r="554">
      <c r="C554" s="55"/>
    </row>
    <row r="555">
      <c r="C555" s="55"/>
    </row>
    <row r="556">
      <c r="C556" s="55"/>
    </row>
    <row r="557">
      <c r="C557" s="55"/>
    </row>
    <row r="558">
      <c r="C558" s="55"/>
    </row>
    <row r="559">
      <c r="C559" s="55"/>
    </row>
    <row r="560">
      <c r="C560" s="55"/>
    </row>
    <row r="561">
      <c r="C561" s="55"/>
    </row>
    <row r="562">
      <c r="C562" s="55"/>
    </row>
    <row r="563">
      <c r="C563" s="55"/>
    </row>
    <row r="564">
      <c r="C564" s="55"/>
    </row>
    <row r="565">
      <c r="C565" s="55"/>
    </row>
    <row r="566">
      <c r="C566" s="55"/>
    </row>
    <row r="567">
      <c r="C567" s="55"/>
    </row>
    <row r="568">
      <c r="C568" s="55"/>
    </row>
    <row r="569">
      <c r="C569" s="55"/>
    </row>
    <row r="570">
      <c r="C570" s="55"/>
    </row>
    <row r="571">
      <c r="C571" s="55"/>
    </row>
    <row r="572">
      <c r="C572" s="55"/>
    </row>
    <row r="573">
      <c r="C573" s="55"/>
    </row>
    <row r="574">
      <c r="C574" s="55"/>
    </row>
    <row r="575">
      <c r="C575" s="55"/>
    </row>
    <row r="576">
      <c r="C576" s="55"/>
    </row>
    <row r="577">
      <c r="C577" s="55"/>
    </row>
    <row r="578">
      <c r="C578" s="55"/>
    </row>
    <row r="579">
      <c r="C579" s="55"/>
    </row>
    <row r="580">
      <c r="C580" s="55"/>
    </row>
    <row r="581">
      <c r="C581" s="55"/>
    </row>
    <row r="582">
      <c r="C582" s="55"/>
    </row>
    <row r="583">
      <c r="C583" s="55"/>
    </row>
    <row r="584">
      <c r="C584" s="55"/>
    </row>
    <row r="585">
      <c r="C585" s="55"/>
    </row>
    <row r="586">
      <c r="C586" s="55"/>
    </row>
    <row r="587">
      <c r="C587" s="55"/>
    </row>
    <row r="588">
      <c r="C588" s="55"/>
    </row>
    <row r="589">
      <c r="C589" s="55"/>
    </row>
    <row r="590">
      <c r="C590" s="55"/>
    </row>
    <row r="591">
      <c r="C591" s="55"/>
    </row>
    <row r="592">
      <c r="C592" s="55"/>
    </row>
    <row r="593">
      <c r="C593" s="55"/>
    </row>
    <row r="594">
      <c r="C594" s="55"/>
    </row>
    <row r="595">
      <c r="C595" s="55"/>
    </row>
    <row r="596">
      <c r="C596" s="55"/>
    </row>
    <row r="597">
      <c r="C597" s="55"/>
    </row>
    <row r="598">
      <c r="C598" s="55"/>
    </row>
    <row r="599">
      <c r="C599" s="55"/>
    </row>
    <row r="600">
      <c r="C600" s="55"/>
    </row>
    <row r="601">
      <c r="C601" s="55"/>
    </row>
    <row r="602">
      <c r="C602" s="55"/>
    </row>
    <row r="603">
      <c r="C603" s="55"/>
    </row>
    <row r="604">
      <c r="C604" s="55"/>
    </row>
    <row r="605">
      <c r="C605" s="55"/>
    </row>
    <row r="606">
      <c r="C606" s="55"/>
    </row>
    <row r="607">
      <c r="C607" s="55"/>
    </row>
    <row r="608">
      <c r="C608" s="55"/>
    </row>
    <row r="609">
      <c r="C609" s="55"/>
    </row>
    <row r="610">
      <c r="C610" s="55"/>
    </row>
    <row r="611">
      <c r="C611" s="55"/>
    </row>
    <row r="612">
      <c r="C612" s="55"/>
    </row>
    <row r="613">
      <c r="C613" s="55"/>
    </row>
    <row r="614">
      <c r="C614" s="55"/>
    </row>
    <row r="615">
      <c r="C615" s="55"/>
    </row>
    <row r="616">
      <c r="C616" s="55"/>
    </row>
    <row r="617">
      <c r="C617" s="55"/>
    </row>
    <row r="618">
      <c r="C618" s="55"/>
    </row>
    <row r="619">
      <c r="C619" s="55"/>
    </row>
    <row r="620">
      <c r="C620" s="55"/>
    </row>
    <row r="621">
      <c r="C621" s="55"/>
    </row>
    <row r="622">
      <c r="C622" s="55"/>
    </row>
    <row r="623">
      <c r="C623" s="55"/>
    </row>
    <row r="624">
      <c r="C624" s="55"/>
    </row>
    <row r="625">
      <c r="C625" s="55"/>
    </row>
    <row r="626">
      <c r="C626" s="55"/>
    </row>
    <row r="627">
      <c r="C627" s="55"/>
    </row>
    <row r="628">
      <c r="C628" s="55"/>
    </row>
    <row r="629">
      <c r="C629" s="55"/>
    </row>
    <row r="630">
      <c r="C630" s="55"/>
    </row>
    <row r="631">
      <c r="C631" s="55"/>
    </row>
    <row r="632">
      <c r="C632" s="55"/>
    </row>
    <row r="633">
      <c r="C633" s="55"/>
    </row>
    <row r="634">
      <c r="C634" s="55"/>
    </row>
    <row r="635">
      <c r="C635" s="55"/>
    </row>
    <row r="636">
      <c r="C636" s="55"/>
    </row>
    <row r="637">
      <c r="C637" s="55"/>
    </row>
    <row r="638">
      <c r="C638" s="55"/>
    </row>
    <row r="639">
      <c r="C639" s="55"/>
    </row>
    <row r="640">
      <c r="C640" s="55"/>
    </row>
    <row r="641">
      <c r="C641" s="55"/>
    </row>
    <row r="642">
      <c r="C642" s="55"/>
    </row>
    <row r="643">
      <c r="C643" s="55"/>
    </row>
    <row r="644">
      <c r="C644" s="55"/>
    </row>
    <row r="645">
      <c r="C645" s="55"/>
    </row>
    <row r="646">
      <c r="C646" s="55"/>
    </row>
    <row r="647">
      <c r="C647" s="55"/>
    </row>
    <row r="648">
      <c r="C648" s="55"/>
    </row>
    <row r="649">
      <c r="C649" s="55"/>
    </row>
    <row r="650">
      <c r="C650" s="55"/>
    </row>
    <row r="651">
      <c r="C651" s="55"/>
    </row>
    <row r="652">
      <c r="C652" s="55"/>
    </row>
    <row r="653">
      <c r="C653" s="55"/>
    </row>
    <row r="654">
      <c r="C654" s="55"/>
    </row>
    <row r="655">
      <c r="C655" s="55"/>
    </row>
    <row r="656">
      <c r="C656" s="55"/>
    </row>
    <row r="657">
      <c r="C657" s="55"/>
    </row>
    <row r="658">
      <c r="C658" s="55"/>
    </row>
    <row r="659">
      <c r="C659" s="55"/>
    </row>
    <row r="660">
      <c r="C660" s="55"/>
    </row>
    <row r="661">
      <c r="C661" s="55"/>
    </row>
    <row r="662">
      <c r="C662" s="55"/>
    </row>
    <row r="663">
      <c r="C663" s="55"/>
    </row>
    <row r="664">
      <c r="C664" s="55"/>
    </row>
    <row r="665">
      <c r="C665" s="55"/>
    </row>
    <row r="666">
      <c r="C666" s="55"/>
    </row>
    <row r="667">
      <c r="C667" s="55"/>
    </row>
    <row r="668">
      <c r="C668" s="55"/>
    </row>
    <row r="669">
      <c r="C669" s="55"/>
    </row>
    <row r="670">
      <c r="C670" s="55"/>
    </row>
    <row r="671">
      <c r="C671" s="55"/>
    </row>
    <row r="672">
      <c r="C672" s="55"/>
    </row>
    <row r="673">
      <c r="C673" s="55"/>
    </row>
    <row r="674">
      <c r="C674" s="55"/>
    </row>
    <row r="675">
      <c r="C675" s="55"/>
    </row>
    <row r="676">
      <c r="C676" s="55"/>
    </row>
    <row r="677">
      <c r="C677" s="55"/>
    </row>
    <row r="678">
      <c r="C678" s="55"/>
    </row>
    <row r="679">
      <c r="C679" s="55"/>
    </row>
    <row r="680">
      <c r="C680" s="55"/>
    </row>
    <row r="681">
      <c r="C681" s="55"/>
    </row>
    <row r="682">
      <c r="C682" s="55"/>
    </row>
    <row r="683">
      <c r="C683" s="55"/>
    </row>
    <row r="684">
      <c r="C684" s="55"/>
    </row>
    <row r="685">
      <c r="C685" s="55"/>
    </row>
    <row r="686">
      <c r="C686" s="55"/>
    </row>
    <row r="687">
      <c r="C687" s="55"/>
    </row>
    <row r="688">
      <c r="C688" s="55"/>
    </row>
    <row r="689">
      <c r="C689" s="55"/>
    </row>
    <row r="690">
      <c r="C690" s="55"/>
    </row>
    <row r="691">
      <c r="C691" s="55"/>
    </row>
    <row r="692">
      <c r="C692" s="55"/>
    </row>
    <row r="693">
      <c r="C693" s="55"/>
    </row>
    <row r="694">
      <c r="C694" s="55"/>
    </row>
    <row r="695">
      <c r="C695" s="55"/>
    </row>
    <row r="696">
      <c r="C696" s="55"/>
    </row>
    <row r="697">
      <c r="C697" s="55"/>
    </row>
    <row r="698">
      <c r="C698" s="55"/>
    </row>
    <row r="699">
      <c r="C699" s="55"/>
    </row>
    <row r="700">
      <c r="C700" s="55"/>
    </row>
    <row r="701">
      <c r="C701" s="55"/>
    </row>
    <row r="702">
      <c r="C702" s="55"/>
    </row>
    <row r="703">
      <c r="C703" s="55"/>
    </row>
    <row r="704">
      <c r="C704" s="55"/>
    </row>
    <row r="705">
      <c r="C705" s="55"/>
    </row>
    <row r="706">
      <c r="C706" s="55"/>
    </row>
    <row r="707">
      <c r="C707" s="55"/>
    </row>
    <row r="708">
      <c r="C708" s="55"/>
    </row>
    <row r="709">
      <c r="C709" s="55"/>
    </row>
    <row r="710">
      <c r="C710" s="55"/>
    </row>
    <row r="711">
      <c r="C711" s="55"/>
    </row>
    <row r="712">
      <c r="C712" s="55"/>
    </row>
    <row r="713">
      <c r="C713" s="55"/>
    </row>
    <row r="714">
      <c r="C714" s="55"/>
    </row>
    <row r="715">
      <c r="C715" s="55"/>
    </row>
    <row r="716">
      <c r="C716" s="55"/>
    </row>
    <row r="717">
      <c r="C717" s="55"/>
    </row>
    <row r="718">
      <c r="C718" s="55"/>
    </row>
    <row r="719">
      <c r="C719" s="55"/>
    </row>
    <row r="720">
      <c r="C720" s="55"/>
    </row>
    <row r="721">
      <c r="C721" s="55"/>
    </row>
    <row r="722">
      <c r="C722" s="55"/>
    </row>
    <row r="723">
      <c r="C723" s="55"/>
    </row>
    <row r="724">
      <c r="C724" s="55"/>
    </row>
    <row r="725">
      <c r="C725" s="55"/>
    </row>
    <row r="726">
      <c r="C726" s="55"/>
    </row>
    <row r="727">
      <c r="C727" s="55"/>
    </row>
    <row r="728">
      <c r="C728" s="55"/>
    </row>
    <row r="729">
      <c r="C729" s="55"/>
    </row>
    <row r="730">
      <c r="C730" s="55"/>
    </row>
    <row r="731">
      <c r="C731" s="55"/>
    </row>
    <row r="732">
      <c r="C732" s="55"/>
    </row>
    <row r="733">
      <c r="C733" s="55"/>
    </row>
    <row r="734">
      <c r="C734" s="55"/>
    </row>
    <row r="735">
      <c r="C735" s="55"/>
    </row>
    <row r="736">
      <c r="C736" s="55"/>
    </row>
    <row r="737">
      <c r="C737" s="55"/>
    </row>
    <row r="738">
      <c r="C738" s="55"/>
    </row>
    <row r="739">
      <c r="C739" s="55"/>
    </row>
    <row r="740">
      <c r="C740" s="55"/>
    </row>
    <row r="741">
      <c r="C741" s="55"/>
    </row>
    <row r="742">
      <c r="C742" s="55"/>
    </row>
    <row r="743">
      <c r="C743" s="55"/>
    </row>
    <row r="744">
      <c r="C744" s="55"/>
    </row>
    <row r="745">
      <c r="C745" s="55"/>
    </row>
    <row r="746">
      <c r="C746" s="55"/>
    </row>
    <row r="747">
      <c r="C747" s="55"/>
    </row>
    <row r="748">
      <c r="C748" s="55"/>
    </row>
    <row r="749">
      <c r="C749" s="55"/>
    </row>
    <row r="750">
      <c r="C750" s="55"/>
    </row>
    <row r="751">
      <c r="C751" s="55"/>
    </row>
    <row r="752">
      <c r="C752" s="55"/>
    </row>
    <row r="753">
      <c r="C753" s="55"/>
    </row>
    <row r="754">
      <c r="C754" s="55"/>
    </row>
    <row r="755">
      <c r="C755" s="55"/>
    </row>
    <row r="756">
      <c r="C756" s="55"/>
    </row>
    <row r="757">
      <c r="C757" s="55"/>
    </row>
    <row r="758">
      <c r="C758" s="55"/>
    </row>
    <row r="759">
      <c r="C759" s="55"/>
    </row>
    <row r="760">
      <c r="C760" s="55"/>
    </row>
    <row r="761">
      <c r="C761" s="55"/>
    </row>
    <row r="762">
      <c r="C762" s="55"/>
    </row>
    <row r="763">
      <c r="C763" s="55"/>
    </row>
    <row r="764">
      <c r="C764" s="55"/>
    </row>
    <row r="765">
      <c r="C765" s="55"/>
    </row>
    <row r="766">
      <c r="C766" s="55"/>
    </row>
    <row r="767">
      <c r="C767" s="55"/>
    </row>
    <row r="768">
      <c r="C768" s="55"/>
    </row>
    <row r="769">
      <c r="C769" s="55"/>
    </row>
    <row r="770">
      <c r="C770" s="55"/>
    </row>
    <row r="771">
      <c r="C771" s="55"/>
    </row>
    <row r="772">
      <c r="C772" s="55"/>
    </row>
    <row r="773">
      <c r="C773" s="55"/>
    </row>
    <row r="774">
      <c r="C774" s="55"/>
    </row>
    <row r="775">
      <c r="C775" s="55"/>
    </row>
    <row r="776">
      <c r="C776" s="55"/>
    </row>
    <row r="777">
      <c r="C777" s="55"/>
    </row>
    <row r="778">
      <c r="C778" s="55"/>
    </row>
    <row r="779">
      <c r="C779" s="55"/>
    </row>
    <row r="780">
      <c r="C780" s="55"/>
    </row>
    <row r="781">
      <c r="C781" s="55"/>
    </row>
    <row r="782">
      <c r="C782" s="55"/>
    </row>
    <row r="783">
      <c r="C783" s="55"/>
    </row>
    <row r="784">
      <c r="C784" s="55"/>
    </row>
    <row r="785">
      <c r="C785" s="55"/>
    </row>
    <row r="786">
      <c r="C786" s="55"/>
    </row>
    <row r="787">
      <c r="C787" s="55"/>
    </row>
    <row r="788">
      <c r="C788" s="55"/>
    </row>
    <row r="789">
      <c r="C789" s="55"/>
    </row>
    <row r="790">
      <c r="C790" s="55"/>
    </row>
    <row r="791">
      <c r="C791" s="55"/>
    </row>
    <row r="792">
      <c r="C792" s="55"/>
    </row>
    <row r="793">
      <c r="C793" s="55"/>
    </row>
    <row r="794">
      <c r="C794" s="55"/>
    </row>
    <row r="795">
      <c r="C795" s="55"/>
    </row>
    <row r="796">
      <c r="C796" s="55"/>
    </row>
    <row r="797">
      <c r="C797" s="55"/>
    </row>
    <row r="798">
      <c r="C798" s="55"/>
    </row>
    <row r="799">
      <c r="C799" s="55"/>
    </row>
    <row r="800">
      <c r="C800" s="55"/>
    </row>
    <row r="801">
      <c r="C801" s="55"/>
    </row>
    <row r="802">
      <c r="C802" s="55"/>
    </row>
    <row r="803">
      <c r="C803" s="55"/>
    </row>
    <row r="804">
      <c r="C804" s="55"/>
    </row>
    <row r="805">
      <c r="C805" s="55"/>
    </row>
    <row r="806">
      <c r="C806" s="55"/>
    </row>
    <row r="807">
      <c r="C807" s="55"/>
    </row>
    <row r="808">
      <c r="C808" s="55"/>
    </row>
    <row r="809">
      <c r="C809" s="55"/>
    </row>
    <row r="810">
      <c r="C810" s="55"/>
    </row>
    <row r="811">
      <c r="C811" s="55"/>
    </row>
    <row r="812">
      <c r="C812" s="55"/>
    </row>
    <row r="813">
      <c r="C813" s="55"/>
    </row>
    <row r="814">
      <c r="C814" s="55"/>
    </row>
    <row r="815">
      <c r="C815" s="55"/>
    </row>
    <row r="816">
      <c r="C816" s="55"/>
    </row>
    <row r="817">
      <c r="C817" s="55"/>
    </row>
    <row r="818">
      <c r="C818" s="55"/>
    </row>
    <row r="819">
      <c r="C819" s="55"/>
    </row>
    <row r="820">
      <c r="C820" s="55"/>
    </row>
    <row r="821">
      <c r="C821" s="55"/>
    </row>
    <row r="822">
      <c r="C822" s="55"/>
    </row>
    <row r="823">
      <c r="C823" s="55"/>
    </row>
    <row r="824">
      <c r="C824" s="55"/>
    </row>
    <row r="825">
      <c r="C825" s="55"/>
    </row>
    <row r="826">
      <c r="C826" s="55"/>
    </row>
    <row r="827">
      <c r="C827" s="55"/>
    </row>
    <row r="828">
      <c r="C828" s="55"/>
    </row>
    <row r="829">
      <c r="C829" s="55"/>
    </row>
    <row r="830">
      <c r="C830" s="55"/>
    </row>
    <row r="831">
      <c r="C831" s="55"/>
    </row>
    <row r="832">
      <c r="C832" s="55"/>
    </row>
    <row r="833">
      <c r="C833" s="55"/>
    </row>
    <row r="834">
      <c r="C834" s="55"/>
    </row>
    <row r="835">
      <c r="C835" s="55"/>
    </row>
    <row r="836">
      <c r="C836" s="55"/>
    </row>
    <row r="837">
      <c r="C837" s="55"/>
    </row>
    <row r="838">
      <c r="C838" s="55"/>
    </row>
    <row r="839">
      <c r="C839" s="55"/>
    </row>
    <row r="840">
      <c r="C840" s="55"/>
    </row>
    <row r="841">
      <c r="C841" s="55"/>
    </row>
    <row r="842">
      <c r="C842" s="55"/>
    </row>
    <row r="843">
      <c r="C843" s="55"/>
    </row>
    <row r="844">
      <c r="C844" s="55"/>
    </row>
    <row r="845">
      <c r="C845" s="55"/>
    </row>
    <row r="846">
      <c r="C846" s="55"/>
    </row>
    <row r="847">
      <c r="C847" s="55"/>
    </row>
    <row r="848">
      <c r="C848" s="55"/>
    </row>
    <row r="849">
      <c r="C849" s="55"/>
    </row>
    <row r="850">
      <c r="C850" s="55"/>
    </row>
    <row r="851">
      <c r="C851" s="55"/>
    </row>
    <row r="852">
      <c r="C852" s="55"/>
    </row>
    <row r="853">
      <c r="C853" s="55"/>
    </row>
    <row r="854">
      <c r="C854" s="55"/>
    </row>
    <row r="855">
      <c r="C855" s="55"/>
    </row>
    <row r="856">
      <c r="C856" s="55"/>
    </row>
    <row r="857">
      <c r="C857" s="55"/>
    </row>
    <row r="858">
      <c r="C858" s="55"/>
    </row>
    <row r="859">
      <c r="C859" s="55"/>
    </row>
    <row r="860">
      <c r="C860" s="55"/>
    </row>
    <row r="861">
      <c r="C861" s="55"/>
    </row>
    <row r="862">
      <c r="C862" s="55"/>
    </row>
    <row r="863">
      <c r="C863" s="55"/>
    </row>
    <row r="864">
      <c r="C864" s="55"/>
    </row>
    <row r="865">
      <c r="C865" s="55"/>
    </row>
    <row r="866">
      <c r="C866" s="55"/>
    </row>
    <row r="867">
      <c r="C867" s="55"/>
    </row>
    <row r="868">
      <c r="C868" s="55"/>
    </row>
    <row r="869">
      <c r="C869" s="55"/>
    </row>
    <row r="870">
      <c r="C870" s="55"/>
    </row>
    <row r="871">
      <c r="C871" s="55"/>
    </row>
    <row r="872">
      <c r="C872" s="55"/>
    </row>
    <row r="873">
      <c r="C873" s="55"/>
    </row>
    <row r="874">
      <c r="C874" s="55"/>
    </row>
    <row r="875">
      <c r="C875" s="55"/>
    </row>
    <row r="876">
      <c r="C876" s="55"/>
    </row>
    <row r="877">
      <c r="C877" s="55"/>
    </row>
    <row r="878">
      <c r="C878" s="55"/>
    </row>
    <row r="879">
      <c r="C879" s="55"/>
    </row>
    <row r="880">
      <c r="C880" s="55"/>
    </row>
    <row r="881">
      <c r="C881" s="55"/>
    </row>
    <row r="882">
      <c r="C882" s="55"/>
    </row>
    <row r="883">
      <c r="C883" s="55"/>
    </row>
    <row r="884">
      <c r="C884" s="55"/>
    </row>
    <row r="885">
      <c r="C885" s="55"/>
    </row>
    <row r="886">
      <c r="C886" s="55"/>
    </row>
    <row r="887">
      <c r="C887" s="55"/>
    </row>
    <row r="888">
      <c r="C888" s="55"/>
    </row>
    <row r="889">
      <c r="C889" s="55"/>
    </row>
    <row r="890">
      <c r="C890" s="55"/>
    </row>
    <row r="891">
      <c r="C891" s="55"/>
    </row>
    <row r="892">
      <c r="C892" s="55"/>
    </row>
    <row r="893">
      <c r="C893" s="55"/>
    </row>
    <row r="894">
      <c r="C894" s="55"/>
    </row>
    <row r="895">
      <c r="C895" s="55"/>
    </row>
    <row r="896">
      <c r="C896" s="55"/>
    </row>
    <row r="897">
      <c r="C897" s="55"/>
    </row>
    <row r="898">
      <c r="C898" s="55"/>
    </row>
    <row r="899">
      <c r="C899" s="55"/>
    </row>
    <row r="900">
      <c r="C900" s="55"/>
    </row>
    <row r="901">
      <c r="C901" s="55"/>
    </row>
    <row r="902">
      <c r="C902" s="55"/>
    </row>
    <row r="903">
      <c r="C903" s="55"/>
    </row>
    <row r="904">
      <c r="C904" s="55"/>
    </row>
    <row r="905">
      <c r="C905" s="55"/>
    </row>
    <row r="906">
      <c r="C906" s="55"/>
    </row>
    <row r="907">
      <c r="C907" s="55"/>
    </row>
    <row r="908">
      <c r="C908" s="55"/>
    </row>
    <row r="909">
      <c r="C909" s="55"/>
    </row>
    <row r="910">
      <c r="C910" s="55"/>
    </row>
    <row r="911">
      <c r="C911" s="55"/>
    </row>
    <row r="912">
      <c r="C912" s="55"/>
    </row>
    <row r="913">
      <c r="C913" s="55"/>
    </row>
    <row r="914">
      <c r="C914" s="55"/>
    </row>
    <row r="915">
      <c r="C915" s="55"/>
    </row>
    <row r="916">
      <c r="C916" s="55"/>
    </row>
    <row r="917">
      <c r="C917" s="55"/>
    </row>
    <row r="918">
      <c r="C918" s="55"/>
    </row>
    <row r="919">
      <c r="C919" s="55"/>
    </row>
    <row r="920">
      <c r="C920" s="55"/>
    </row>
    <row r="921">
      <c r="C921" s="55"/>
    </row>
    <row r="922">
      <c r="C922" s="55"/>
    </row>
    <row r="923">
      <c r="C923" s="55"/>
    </row>
    <row r="924">
      <c r="C924" s="55"/>
    </row>
    <row r="925">
      <c r="C925" s="55"/>
    </row>
    <row r="926">
      <c r="C926" s="55"/>
    </row>
    <row r="927">
      <c r="C927" s="55"/>
    </row>
    <row r="928">
      <c r="C928" s="55"/>
    </row>
    <row r="929">
      <c r="C929" s="55"/>
    </row>
    <row r="930">
      <c r="C930" s="55"/>
    </row>
    <row r="931">
      <c r="C931" s="55"/>
    </row>
    <row r="932">
      <c r="C932" s="55"/>
    </row>
    <row r="933">
      <c r="C933" s="55"/>
    </row>
    <row r="934">
      <c r="C934" s="55"/>
    </row>
    <row r="935">
      <c r="C935" s="55"/>
    </row>
    <row r="936">
      <c r="C936" s="55"/>
    </row>
    <row r="937">
      <c r="C937" s="55"/>
    </row>
    <row r="938">
      <c r="C938" s="55"/>
    </row>
    <row r="939">
      <c r="C939" s="55"/>
    </row>
    <row r="940">
      <c r="C940" s="55"/>
    </row>
    <row r="941">
      <c r="C941" s="55"/>
    </row>
    <row r="942">
      <c r="C942" s="55"/>
    </row>
    <row r="943">
      <c r="C943" s="55"/>
    </row>
    <row r="944">
      <c r="C944" s="55"/>
    </row>
    <row r="945">
      <c r="C945" s="55"/>
    </row>
    <row r="946">
      <c r="C946" s="55"/>
    </row>
    <row r="947">
      <c r="C947" s="55"/>
    </row>
    <row r="948">
      <c r="C948" s="55"/>
    </row>
    <row r="949">
      <c r="C949" s="55"/>
    </row>
    <row r="950">
      <c r="C950" s="55"/>
    </row>
    <row r="951">
      <c r="C951" s="55"/>
    </row>
    <row r="952">
      <c r="C952" s="55"/>
    </row>
    <row r="953">
      <c r="C953" s="55"/>
    </row>
    <row r="954">
      <c r="C954" s="55"/>
    </row>
    <row r="955">
      <c r="C955" s="55"/>
    </row>
    <row r="956">
      <c r="C956" s="55"/>
    </row>
    <row r="957">
      <c r="C957" s="55"/>
    </row>
    <row r="958">
      <c r="C958" s="55"/>
    </row>
    <row r="959">
      <c r="C959" s="55"/>
    </row>
    <row r="960">
      <c r="C960" s="55"/>
    </row>
    <row r="961">
      <c r="C961" s="55"/>
    </row>
    <row r="962">
      <c r="C962" s="55"/>
    </row>
    <row r="963">
      <c r="C963" s="55"/>
    </row>
    <row r="964">
      <c r="C964" s="55"/>
    </row>
    <row r="965">
      <c r="C965" s="55"/>
    </row>
    <row r="966">
      <c r="C966" s="55"/>
    </row>
    <row r="967">
      <c r="C967" s="55"/>
    </row>
    <row r="968">
      <c r="C968" s="55"/>
    </row>
    <row r="969">
      <c r="C969" s="55"/>
    </row>
    <row r="970">
      <c r="C970" s="55"/>
    </row>
    <row r="971">
      <c r="C971" s="55"/>
    </row>
    <row r="972">
      <c r="C972" s="55"/>
    </row>
    <row r="973">
      <c r="C973" s="55"/>
    </row>
    <row r="974">
      <c r="C974" s="55"/>
    </row>
    <row r="975">
      <c r="C975" s="55"/>
    </row>
    <row r="976">
      <c r="C976" s="55"/>
    </row>
    <row r="977">
      <c r="C977" s="55"/>
    </row>
    <row r="978">
      <c r="C978" s="55"/>
    </row>
    <row r="979">
      <c r="C979" s="55"/>
    </row>
    <row r="980">
      <c r="C980" s="55"/>
    </row>
    <row r="981">
      <c r="C981" s="55"/>
    </row>
    <row r="982">
      <c r="C982" s="55"/>
    </row>
    <row r="983">
      <c r="C983" s="55"/>
    </row>
    <row r="984">
      <c r="C984" s="55"/>
    </row>
    <row r="985">
      <c r="C985" s="55"/>
    </row>
    <row r="986">
      <c r="C986" s="55"/>
    </row>
    <row r="987">
      <c r="C987" s="55"/>
    </row>
    <row r="988">
      <c r="C988" s="55"/>
    </row>
    <row r="989">
      <c r="C989" s="55"/>
    </row>
    <row r="990">
      <c r="C990" s="55"/>
    </row>
    <row r="991">
      <c r="C991" s="55"/>
    </row>
    <row r="992">
      <c r="C992" s="55"/>
    </row>
    <row r="993">
      <c r="C993" s="55"/>
    </row>
    <row r="994">
      <c r="C994" s="55"/>
    </row>
    <row r="995">
      <c r="C995" s="55"/>
    </row>
    <row r="996">
      <c r="C996" s="55"/>
    </row>
    <row r="997">
      <c r="C997" s="55"/>
    </row>
    <row r="998">
      <c r="C998" s="55"/>
    </row>
    <row r="999">
      <c r="C999" s="55"/>
    </row>
    <row r="1000">
      <c r="C1000" s="55"/>
    </row>
  </sheetData>
  <dataValidations>
    <dataValidation type="list" allowBlank="1" sqref="B2:B18">
      <formula1>"P001,P002"</formula1>
    </dataValidation>
    <dataValidation type="custom" allowBlank="1" showDropDown="1" sqref="A2:A18">
      <formula1>OR(NOT(ISERROR(DATEVALUE(A2))), AND(ISNUMBER(A2), LEFT(CELL("format", A2))="D"))</formula1>
    </dataValidation>
    <dataValidation type="list" allowBlank="1" sqref="G2:G18">
      <formula1>"Refund,Payable"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3.0"/>
  </cols>
  <sheetData>
    <row r="1">
      <c r="A1" s="71" t="s">
        <v>302</v>
      </c>
      <c r="B1" s="72"/>
    </row>
    <row r="2">
      <c r="A2" s="2" t="s">
        <v>303</v>
      </c>
      <c r="B2" s="2">
        <v>3.0</v>
      </c>
    </row>
    <row r="3">
      <c r="A3" s="2" t="s">
        <v>304</v>
      </c>
      <c r="B3" s="2">
        <v>2.0</v>
      </c>
    </row>
    <row r="4">
      <c r="A4" s="2" t="s">
        <v>305</v>
      </c>
      <c r="B4" s="2">
        <v>0.0</v>
      </c>
    </row>
    <row r="6">
      <c r="A6" s="71" t="s">
        <v>306</v>
      </c>
      <c r="B6" s="73"/>
    </row>
    <row r="7">
      <c r="A7" s="2" t="s">
        <v>307</v>
      </c>
      <c r="B7" s="2">
        <v>6050000.0</v>
      </c>
    </row>
    <row r="8">
      <c r="A8" s="2" t="s">
        <v>308</v>
      </c>
      <c r="B8" s="2">
        <v>7.5E7</v>
      </c>
    </row>
    <row r="9">
      <c r="A9" s="2" t="s">
        <v>278</v>
      </c>
      <c r="B9" s="2">
        <v>-6.895E7</v>
      </c>
    </row>
    <row r="10">
      <c r="F10" s="74" t="s">
        <v>309</v>
      </c>
    </row>
    <row r="11">
      <c r="A11" s="71" t="s">
        <v>310</v>
      </c>
      <c r="B11" s="73"/>
      <c r="F11" s="74" t="s">
        <v>311</v>
      </c>
    </row>
    <row r="12">
      <c r="A12" s="2" t="s">
        <v>312</v>
      </c>
      <c r="B12" s="2">
        <v>8678212.336123724</v>
      </c>
      <c r="F12" s="74" t="s">
        <v>313</v>
      </c>
    </row>
    <row r="13">
      <c r="A13" s="2" t="s">
        <v>314</v>
      </c>
      <c r="B13" s="2">
        <v>470000.0</v>
      </c>
      <c r="F13" s="74" t="s">
        <v>315</v>
      </c>
    </row>
    <row r="14">
      <c r="A14" s="2" t="s">
        <v>316</v>
      </c>
      <c r="B14" s="2">
        <v>700000.0</v>
      </c>
    </row>
    <row r="15">
      <c r="A15" s="2" t="s">
        <v>317</v>
      </c>
      <c r="B15" s="75">
        <v>7978212.336123724</v>
      </c>
    </row>
    <row r="16">
      <c r="A16" s="2"/>
      <c r="B16" s="2"/>
    </row>
    <row r="17">
      <c r="A17" s="71" t="s">
        <v>318</v>
      </c>
      <c r="B17" s="73"/>
    </row>
    <row r="18">
      <c r="A18" s="2" t="s">
        <v>319</v>
      </c>
      <c r="B18" s="2">
        <v>350000.0</v>
      </c>
    </row>
    <row r="19">
      <c r="A19" s="2" t="s">
        <v>320</v>
      </c>
      <c r="B19" s="2">
        <v>7.5E7</v>
      </c>
    </row>
    <row r="20">
      <c r="A20" s="2" t="s">
        <v>321</v>
      </c>
      <c r="B20" s="2">
        <v>700000.0</v>
      </c>
    </row>
    <row r="21">
      <c r="A21" s="2" t="s">
        <v>322</v>
      </c>
      <c r="B21" s="2">
        <v>350000.0</v>
      </c>
    </row>
    <row r="22">
      <c r="A22" s="2"/>
      <c r="B22" s="2"/>
    </row>
    <row r="23">
      <c r="A23" s="71" t="s">
        <v>323</v>
      </c>
      <c r="B23" s="73"/>
    </row>
    <row r="24">
      <c r="A24" s="2" t="s">
        <v>324</v>
      </c>
      <c r="B24" s="2">
        <v>6050000.0</v>
      </c>
    </row>
    <row r="25">
      <c r="A25" s="2" t="s">
        <v>325</v>
      </c>
      <c r="B25" s="2">
        <v>700000.0</v>
      </c>
    </row>
    <row r="26">
      <c r="A26" s="2" t="s">
        <v>326</v>
      </c>
      <c r="B26" s="2">
        <v>5350000.0</v>
      </c>
    </row>
    <row r="27">
      <c r="A27" s="2" t="s">
        <v>327</v>
      </c>
      <c r="B27" s="2">
        <v>0.6032927379341453</v>
      </c>
    </row>
    <row r="29">
      <c r="A29" s="76" t="s">
        <v>328</v>
      </c>
      <c r="B29" s="77"/>
    </row>
    <row r="30">
      <c r="A30" s="2" t="s">
        <v>329</v>
      </c>
      <c r="B30" s="75">
        <v>121487.60330578512</v>
      </c>
    </row>
    <row r="31">
      <c r="A31" s="2" t="s">
        <v>330</v>
      </c>
      <c r="B31" s="75">
        <v>1.3016528925619837E7</v>
      </c>
    </row>
    <row r="32">
      <c r="A32" s="2" t="s">
        <v>331</v>
      </c>
      <c r="B32" s="75">
        <v>1.289504132231405E7</v>
      </c>
    </row>
    <row r="33">
      <c r="A33" s="2" t="s">
        <v>299</v>
      </c>
      <c r="B33" s="75">
        <v>470000.0</v>
      </c>
    </row>
    <row r="34">
      <c r="B34" s="75">
        <v>700000.0</v>
      </c>
    </row>
    <row r="35">
      <c r="B35" s="75">
        <v>-230000.0</v>
      </c>
    </row>
    <row r="36">
      <c r="B36" s="75">
        <v>0.05415861951701608</v>
      </c>
    </row>
  </sheetData>
  <drawing r:id="rId1"/>
</worksheet>
</file>